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88b1622481819b4/Documents/Sales-Dashboard-Project/"/>
    </mc:Choice>
  </mc:AlternateContent>
  <xr:revisionPtr revIDLastSave="319" documentId="11_FFC65FC0E0992ED51E160BD0C3A5322F4FAFF76E" xr6:coauthVersionLast="47" xr6:coauthVersionMax="47" xr10:uidLastSave="{7D0671CA-6FDB-495E-9DFE-87BB013BA6F0}"/>
  <bookViews>
    <workbookView xWindow="-108" yWindow="-108" windowWidth="23256" windowHeight="13176" xr2:uid="{00000000-000D-0000-FFFF-FFFF00000000}"/>
  </bookViews>
  <sheets>
    <sheet name="Category Sales" sheetId="2" r:id="rId1"/>
    <sheet name="City Sales" sheetId="3" r:id="rId2"/>
    <sheet name="Monthly Trend" sheetId="11" r:id="rId3"/>
    <sheet name="Dashboard" sheetId="12" r:id="rId4"/>
    <sheet name="Data" sheetId="1" r:id="rId5"/>
  </sheets>
  <calcPr calcId="191029"/>
  <pivotCaches>
    <pivotCache cacheId="21" r:id="rId6"/>
    <pivotCache cacheId="27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2" l="1"/>
  <c r="A5" i="12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" i="1"/>
  <c r="H4" i="1"/>
  <c r="H5" i="1"/>
  <c r="H2" i="1"/>
</calcChain>
</file>

<file path=xl/sharedStrings.xml><?xml version="1.0" encoding="utf-8"?>
<sst xmlns="http://schemas.openxmlformats.org/spreadsheetml/2006/main" count="1047" uniqueCount="146">
  <si>
    <t>Order ID</t>
  </si>
  <si>
    <t>Product</t>
  </si>
  <si>
    <t>Category</t>
  </si>
  <si>
    <t>Price</t>
  </si>
  <si>
    <t>Quantity</t>
  </si>
  <si>
    <t>Date</t>
  </si>
  <si>
    <t>City</t>
  </si>
  <si>
    <t>Laptop</t>
  </si>
  <si>
    <t>Shoes</t>
  </si>
  <si>
    <t>T-shirt</t>
  </si>
  <si>
    <t>Headphones</t>
  </si>
  <si>
    <t>Watch</t>
  </si>
  <si>
    <t>Bag</t>
  </si>
  <si>
    <t>Electronics</t>
  </si>
  <si>
    <t>Fashion</t>
  </si>
  <si>
    <t>Accessories</t>
  </si>
  <si>
    <t>Delhi</t>
  </si>
  <si>
    <t>Chennai</t>
  </si>
  <si>
    <t>Kolkata</t>
  </si>
  <si>
    <t>Bangalore</t>
  </si>
  <si>
    <t>Mumbai</t>
  </si>
  <si>
    <t>Total sales</t>
  </si>
  <si>
    <t>Row Labels</t>
  </si>
  <si>
    <t>Grand Total</t>
  </si>
  <si>
    <t>Sum of Total sales</t>
  </si>
  <si>
    <t>Jan</t>
  </si>
  <si>
    <t>Feb</t>
  </si>
  <si>
    <t>Mar</t>
  </si>
  <si>
    <t>Apr</t>
  </si>
  <si>
    <t>01-Apr</t>
  </si>
  <si>
    <t>02-Apr</t>
  </si>
  <si>
    <t>03-Apr</t>
  </si>
  <si>
    <t>04-Apr</t>
  </si>
  <si>
    <t>05-Apr</t>
  </si>
  <si>
    <t>06-Apr</t>
  </si>
  <si>
    <t>07-Apr</t>
  </si>
  <si>
    <t>08-Apr</t>
  </si>
  <si>
    <t>09-Apr</t>
  </si>
  <si>
    <t>10-Apr</t>
  </si>
  <si>
    <t>11-Apr</t>
  </si>
  <si>
    <t>13-Apr</t>
  </si>
  <si>
    <t>14-Apr</t>
  </si>
  <si>
    <t>15-Apr</t>
  </si>
  <si>
    <t>16-Apr</t>
  </si>
  <si>
    <t>17-Apr</t>
  </si>
  <si>
    <t>18-Apr</t>
  </si>
  <si>
    <t>19-Apr</t>
  </si>
  <si>
    <t>20-Apr</t>
  </si>
  <si>
    <t>21-Apr</t>
  </si>
  <si>
    <t>22-Apr</t>
  </si>
  <si>
    <t>23-Apr</t>
  </si>
  <si>
    <t>24-Apr</t>
  </si>
  <si>
    <t>25-Apr</t>
  </si>
  <si>
    <t>26-Apr</t>
  </si>
  <si>
    <t>27-Apr</t>
  </si>
  <si>
    <t>28-Apr</t>
  </si>
  <si>
    <t>29-Apr</t>
  </si>
  <si>
    <t>30-Apr</t>
  </si>
  <si>
    <t>02-Jan</t>
  </si>
  <si>
    <t>03-Jan</t>
  </si>
  <si>
    <t>04-Jan</t>
  </si>
  <si>
    <t>05-Jan</t>
  </si>
  <si>
    <t>06-Jan</t>
  </si>
  <si>
    <t>08-Jan</t>
  </si>
  <si>
    <t>09-Jan</t>
  </si>
  <si>
    <t>10-Jan</t>
  </si>
  <si>
    <t>11-Jan</t>
  </si>
  <si>
    <t>12-Jan</t>
  </si>
  <si>
    <t>13-Jan</t>
  </si>
  <si>
    <t>15-Jan</t>
  </si>
  <si>
    <t>16-Jan</t>
  </si>
  <si>
    <t>17-Jan</t>
  </si>
  <si>
    <t>19-Jan</t>
  </si>
  <si>
    <t>20-Jan</t>
  </si>
  <si>
    <t>21-Jan</t>
  </si>
  <si>
    <t>22-Jan</t>
  </si>
  <si>
    <t>23-Jan</t>
  </si>
  <si>
    <t>24-Jan</t>
  </si>
  <si>
    <t>25-Jan</t>
  </si>
  <si>
    <t>26-Jan</t>
  </si>
  <si>
    <t>27-Jan</t>
  </si>
  <si>
    <t>28-Jan</t>
  </si>
  <si>
    <t>29-Jan</t>
  </si>
  <si>
    <t>31-Jan</t>
  </si>
  <si>
    <t>01-Feb</t>
  </si>
  <si>
    <t>02-Feb</t>
  </si>
  <si>
    <t>03-Feb</t>
  </si>
  <si>
    <t>05-Feb</t>
  </si>
  <si>
    <t>07-Feb</t>
  </si>
  <si>
    <t>08-Feb</t>
  </si>
  <si>
    <t>09-Feb</t>
  </si>
  <si>
    <t>10-Feb</t>
  </si>
  <si>
    <t>11-Feb</t>
  </si>
  <si>
    <t>12-Feb</t>
  </si>
  <si>
    <t>13-Feb</t>
  </si>
  <si>
    <t>14-Feb</t>
  </si>
  <si>
    <t>15-Feb</t>
  </si>
  <si>
    <t>16-Feb</t>
  </si>
  <si>
    <t>17-Feb</t>
  </si>
  <si>
    <t>18-Feb</t>
  </si>
  <si>
    <t>19-Feb</t>
  </si>
  <si>
    <t>20-Feb</t>
  </si>
  <si>
    <t>21-Feb</t>
  </si>
  <si>
    <t>23-Feb</t>
  </si>
  <si>
    <t>24-Feb</t>
  </si>
  <si>
    <t>25-Feb</t>
  </si>
  <si>
    <t>26-Feb</t>
  </si>
  <si>
    <t>27-Feb</t>
  </si>
  <si>
    <t>28-Feb</t>
  </si>
  <si>
    <t>29-Feb</t>
  </si>
  <si>
    <t>01-Mar</t>
  </si>
  <si>
    <t>02-Mar</t>
  </si>
  <si>
    <t>03-Mar</t>
  </si>
  <si>
    <t>05-Mar</t>
  </si>
  <si>
    <t>06-Mar</t>
  </si>
  <si>
    <t>07-Mar</t>
  </si>
  <si>
    <t>08-Mar</t>
  </si>
  <si>
    <t>09-Mar</t>
  </si>
  <si>
    <t>10-Mar</t>
  </si>
  <si>
    <t>11-Mar</t>
  </si>
  <si>
    <t>12-Mar</t>
  </si>
  <si>
    <t>13-Mar</t>
  </si>
  <si>
    <t>14-Mar</t>
  </si>
  <si>
    <t>15-Mar</t>
  </si>
  <si>
    <t>16-Mar</t>
  </si>
  <si>
    <t>17-Mar</t>
  </si>
  <si>
    <t>18-Mar</t>
  </si>
  <si>
    <t>19-Mar</t>
  </si>
  <si>
    <t>20-Mar</t>
  </si>
  <si>
    <t>21-Mar</t>
  </si>
  <si>
    <t>22-Mar</t>
  </si>
  <si>
    <t>23-Mar</t>
  </si>
  <si>
    <t>24-Mar</t>
  </si>
  <si>
    <t>26-Mar</t>
  </si>
  <si>
    <t>27-Mar</t>
  </si>
  <si>
    <t>28-Mar</t>
  </si>
  <si>
    <t>29-Mar</t>
  </si>
  <si>
    <t>30-Mar</t>
  </si>
  <si>
    <t>31-Mar</t>
  </si>
  <si>
    <t>Sales Performance Dashboard</t>
  </si>
  <si>
    <t>Total Revenue</t>
  </si>
  <si>
    <t>Total Orders</t>
  </si>
  <si>
    <t>Top Category</t>
  </si>
  <si>
    <t>Fashion Category generates highest revenue</t>
  </si>
  <si>
    <t>Mumbai is top performing city</t>
  </si>
  <si>
    <t>Sales show peak growth in Jan - 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</si>
</sst>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5" fontId="0" fillId="0" borderId="0" xfId="0" applyNumberFormat="1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/>
    <xf numFmtId="0" fontId="0" fillId="2" borderId="0" xfId="0" applyFill="1" applyAlignment="1">
      <alignment horizontal="center"/>
    </xf>
    <xf numFmtId="0" fontId="6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0" formatCode="dd/mmm/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[sales_dashboard.xlsx]Category Sales!PivotTable1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Sales'!$A$4:$A$7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Fashion</c:v>
                </c:pt>
              </c:strCache>
            </c:strRef>
          </c:cat>
          <c:val>
            <c:numRef>
              <c:f>'Category Sales'!$B$4:$B$7</c:f>
              <c:numCache>
                <c:formatCode>General</c:formatCode>
                <c:ptCount val="3"/>
                <c:pt idx="0">
                  <c:v>6469136</c:v>
                </c:pt>
                <c:pt idx="1">
                  <c:v>8039933</c:v>
                </c:pt>
                <c:pt idx="2">
                  <c:v>8805133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06-47C7-88C6-008CD25B3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5723663"/>
        <c:axId val="1795724623"/>
      </c:barChart>
      <c:catAx>
        <c:axId val="179572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724623"/>
        <c:crosses val="autoZero"/>
        <c:auto val="1"/>
        <c:lblAlgn val="ctr"/>
        <c:lblOffset val="100"/>
        <c:noMultiLvlLbl val="0"/>
      </c:catAx>
      <c:valAx>
        <c:axId val="179572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723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[sales_dashboard.xlsx]City Sales!PivotTable2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City</a:t>
            </a:r>
          </a:p>
        </c:rich>
      </c:tx>
      <c:layout>
        <c:manualLayout>
          <c:xMode val="edge"/>
          <c:yMode val="edge"/>
          <c:x val="0.43164781005580721"/>
          <c:y val="5.1274445957413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'City Sales'!$A$4:$A$9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Kolkata</c:v>
                </c:pt>
                <c:pt idx="4">
                  <c:v>Mumbai</c:v>
                </c:pt>
              </c:strCache>
            </c:strRef>
          </c:cat>
          <c:val>
            <c:numRef>
              <c:f>'City Sales'!$B$4:$B$9</c:f>
              <c:numCache>
                <c:formatCode>General</c:formatCode>
                <c:ptCount val="5"/>
                <c:pt idx="0">
                  <c:v>3859681</c:v>
                </c:pt>
                <c:pt idx="1">
                  <c:v>3597919</c:v>
                </c:pt>
                <c:pt idx="2">
                  <c:v>4668559</c:v>
                </c:pt>
                <c:pt idx="3">
                  <c:v>5510474</c:v>
                </c:pt>
                <c:pt idx="4">
                  <c:v>5677569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04-45D1-B89D-456A40E5D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0472159"/>
        <c:axId val="290467359"/>
      </c:barChart>
      <c:catAx>
        <c:axId val="29047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467359"/>
        <c:crosses val="autoZero"/>
        <c:auto val="1"/>
        <c:lblAlgn val="ctr"/>
        <c:lblOffset val="100"/>
        <c:noMultiLvlLbl val="0"/>
      </c:catAx>
      <c:valAx>
        <c:axId val="29046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47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[sales_dashboard.xlsx]Monthly Trend!PivotTable11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'Monthly Trend'!$A$4:$A$118</c:f>
              <c:multiLvlStrCache>
                <c:ptCount val="110"/>
                <c:lvl>
                  <c:pt idx="0">
                    <c:v>02-Jan</c:v>
                  </c:pt>
                  <c:pt idx="1">
                    <c:v>03-Jan</c:v>
                  </c:pt>
                  <c:pt idx="2">
                    <c:v>04-Jan</c:v>
                  </c:pt>
                  <c:pt idx="3">
                    <c:v>05-Jan</c:v>
                  </c:pt>
                  <c:pt idx="4">
                    <c:v>06-Jan</c:v>
                  </c:pt>
                  <c:pt idx="5">
                    <c:v>08-Jan</c:v>
                  </c:pt>
                  <c:pt idx="6">
                    <c:v>09-Jan</c:v>
                  </c:pt>
                  <c:pt idx="7">
                    <c:v>10-Jan</c:v>
                  </c:pt>
                  <c:pt idx="8">
                    <c:v>11-Jan</c:v>
                  </c:pt>
                  <c:pt idx="9">
                    <c:v>12-Jan</c:v>
                  </c:pt>
                  <c:pt idx="10">
                    <c:v>13-Jan</c:v>
                  </c:pt>
                  <c:pt idx="11">
                    <c:v>15-Jan</c:v>
                  </c:pt>
                  <c:pt idx="12">
                    <c:v>16-Jan</c:v>
                  </c:pt>
                  <c:pt idx="13">
                    <c:v>17-Jan</c:v>
                  </c:pt>
                  <c:pt idx="14">
                    <c:v>19-Jan</c:v>
                  </c:pt>
                  <c:pt idx="15">
                    <c:v>20-Jan</c:v>
                  </c:pt>
                  <c:pt idx="16">
                    <c:v>21-Jan</c:v>
                  </c:pt>
                  <c:pt idx="17">
                    <c:v>22-Jan</c:v>
                  </c:pt>
                  <c:pt idx="18">
                    <c:v>23-Jan</c:v>
                  </c:pt>
                  <c:pt idx="19">
                    <c:v>24-Jan</c:v>
                  </c:pt>
                  <c:pt idx="20">
                    <c:v>25-Jan</c:v>
                  </c:pt>
                  <c:pt idx="21">
                    <c:v>26-Jan</c:v>
                  </c:pt>
                  <c:pt idx="22">
                    <c:v>27-Jan</c:v>
                  </c:pt>
                  <c:pt idx="23">
                    <c:v>28-Jan</c:v>
                  </c:pt>
                  <c:pt idx="24">
                    <c:v>29-Jan</c:v>
                  </c:pt>
                  <c:pt idx="25">
                    <c:v>31-Jan</c:v>
                  </c:pt>
                  <c:pt idx="26">
                    <c:v>01-Feb</c:v>
                  </c:pt>
                  <c:pt idx="27">
                    <c:v>02-Feb</c:v>
                  </c:pt>
                  <c:pt idx="28">
                    <c:v>03-Feb</c:v>
                  </c:pt>
                  <c:pt idx="29">
                    <c:v>05-Feb</c:v>
                  </c:pt>
                  <c:pt idx="30">
                    <c:v>07-Feb</c:v>
                  </c:pt>
                  <c:pt idx="31">
                    <c:v>08-Feb</c:v>
                  </c:pt>
                  <c:pt idx="32">
                    <c:v>09-Feb</c:v>
                  </c:pt>
                  <c:pt idx="33">
                    <c:v>10-Feb</c:v>
                  </c:pt>
                  <c:pt idx="34">
                    <c:v>11-Feb</c:v>
                  </c:pt>
                  <c:pt idx="35">
                    <c:v>12-Feb</c:v>
                  </c:pt>
                  <c:pt idx="36">
                    <c:v>13-Feb</c:v>
                  </c:pt>
                  <c:pt idx="37">
                    <c:v>14-Feb</c:v>
                  </c:pt>
                  <c:pt idx="38">
                    <c:v>15-Feb</c:v>
                  </c:pt>
                  <c:pt idx="39">
                    <c:v>16-Feb</c:v>
                  </c:pt>
                  <c:pt idx="40">
                    <c:v>17-Feb</c:v>
                  </c:pt>
                  <c:pt idx="41">
                    <c:v>18-Feb</c:v>
                  </c:pt>
                  <c:pt idx="42">
                    <c:v>19-Feb</c:v>
                  </c:pt>
                  <c:pt idx="43">
                    <c:v>20-Feb</c:v>
                  </c:pt>
                  <c:pt idx="44">
                    <c:v>21-Feb</c:v>
                  </c:pt>
                  <c:pt idx="45">
                    <c:v>23-Feb</c:v>
                  </c:pt>
                  <c:pt idx="46">
                    <c:v>24-Feb</c:v>
                  </c:pt>
                  <c:pt idx="47">
                    <c:v>25-Feb</c:v>
                  </c:pt>
                  <c:pt idx="48">
                    <c:v>26-Feb</c:v>
                  </c:pt>
                  <c:pt idx="49">
                    <c:v>27-Feb</c:v>
                  </c:pt>
                  <c:pt idx="50">
                    <c:v>28-Feb</c:v>
                  </c:pt>
                  <c:pt idx="51">
                    <c:v>29-Feb</c:v>
                  </c:pt>
                  <c:pt idx="52">
                    <c:v>01-Mar</c:v>
                  </c:pt>
                  <c:pt idx="53">
                    <c:v>02-Mar</c:v>
                  </c:pt>
                  <c:pt idx="54">
                    <c:v>03-Mar</c:v>
                  </c:pt>
                  <c:pt idx="55">
                    <c:v>05-Mar</c:v>
                  </c:pt>
                  <c:pt idx="56">
                    <c:v>06-Mar</c:v>
                  </c:pt>
                  <c:pt idx="57">
                    <c:v>07-Mar</c:v>
                  </c:pt>
                  <c:pt idx="58">
                    <c:v>08-Mar</c:v>
                  </c:pt>
                  <c:pt idx="59">
                    <c:v>09-Mar</c:v>
                  </c:pt>
                  <c:pt idx="60">
                    <c:v>10-Mar</c:v>
                  </c:pt>
                  <c:pt idx="61">
                    <c:v>11-Mar</c:v>
                  </c:pt>
                  <c:pt idx="62">
                    <c:v>12-Mar</c:v>
                  </c:pt>
                  <c:pt idx="63">
                    <c:v>13-Mar</c:v>
                  </c:pt>
                  <c:pt idx="64">
                    <c:v>14-Mar</c:v>
                  </c:pt>
                  <c:pt idx="65">
                    <c:v>15-Mar</c:v>
                  </c:pt>
                  <c:pt idx="66">
                    <c:v>16-Mar</c:v>
                  </c:pt>
                  <c:pt idx="67">
                    <c:v>17-Mar</c:v>
                  </c:pt>
                  <c:pt idx="68">
                    <c:v>18-Mar</c:v>
                  </c:pt>
                  <c:pt idx="69">
                    <c:v>19-Mar</c:v>
                  </c:pt>
                  <c:pt idx="70">
                    <c:v>20-Mar</c:v>
                  </c:pt>
                  <c:pt idx="71">
                    <c:v>21-Mar</c:v>
                  </c:pt>
                  <c:pt idx="72">
                    <c:v>22-Mar</c:v>
                  </c:pt>
                  <c:pt idx="73">
                    <c:v>23-Mar</c:v>
                  </c:pt>
                  <c:pt idx="74">
                    <c:v>24-Mar</c:v>
                  </c:pt>
                  <c:pt idx="75">
                    <c:v>26-Mar</c:v>
                  </c:pt>
                  <c:pt idx="76">
                    <c:v>27-Mar</c:v>
                  </c:pt>
                  <c:pt idx="77">
                    <c:v>28-Mar</c:v>
                  </c:pt>
                  <c:pt idx="78">
                    <c:v>29-Mar</c:v>
                  </c:pt>
                  <c:pt idx="79">
                    <c:v>30-Mar</c:v>
                  </c:pt>
                  <c:pt idx="80">
                    <c:v>31-Mar</c:v>
                  </c:pt>
                  <c:pt idx="81">
                    <c:v>01-Apr</c:v>
                  </c:pt>
                  <c:pt idx="82">
                    <c:v>02-Apr</c:v>
                  </c:pt>
                  <c:pt idx="83">
                    <c:v>03-Apr</c:v>
                  </c:pt>
                  <c:pt idx="84">
                    <c:v>04-Apr</c:v>
                  </c:pt>
                  <c:pt idx="85">
                    <c:v>05-Apr</c:v>
                  </c:pt>
                  <c:pt idx="86">
                    <c:v>06-Apr</c:v>
                  </c:pt>
                  <c:pt idx="87">
                    <c:v>07-Apr</c:v>
                  </c:pt>
                  <c:pt idx="88">
                    <c:v>08-Apr</c:v>
                  </c:pt>
                  <c:pt idx="89">
                    <c:v>09-Apr</c:v>
                  </c:pt>
                  <c:pt idx="90">
                    <c:v>10-Apr</c:v>
                  </c:pt>
                  <c:pt idx="91">
                    <c:v>11-Apr</c:v>
                  </c:pt>
                  <c:pt idx="92">
                    <c:v>13-Apr</c:v>
                  </c:pt>
                  <c:pt idx="93">
                    <c:v>14-Apr</c:v>
                  </c:pt>
                  <c:pt idx="94">
                    <c:v>15-Apr</c:v>
                  </c:pt>
                  <c:pt idx="95">
                    <c:v>16-Apr</c:v>
                  </c:pt>
                  <c:pt idx="96">
                    <c:v>17-Apr</c:v>
                  </c:pt>
                  <c:pt idx="97">
                    <c:v>18-Apr</c:v>
                  </c:pt>
                  <c:pt idx="98">
                    <c:v>19-Apr</c:v>
                  </c:pt>
                  <c:pt idx="99">
                    <c:v>20-Apr</c:v>
                  </c:pt>
                  <c:pt idx="100">
                    <c:v>21-Apr</c:v>
                  </c:pt>
                  <c:pt idx="101">
                    <c:v>22-Apr</c:v>
                  </c:pt>
                  <c:pt idx="102">
                    <c:v>23-Apr</c:v>
                  </c:pt>
                  <c:pt idx="103">
                    <c:v>24-Apr</c:v>
                  </c:pt>
                  <c:pt idx="104">
                    <c:v>25-Apr</c:v>
                  </c:pt>
                  <c:pt idx="105">
                    <c:v>26-Apr</c:v>
                  </c:pt>
                  <c:pt idx="106">
                    <c:v>27-Apr</c:v>
                  </c:pt>
                  <c:pt idx="107">
                    <c:v>28-Apr</c:v>
                  </c:pt>
                  <c:pt idx="108">
                    <c:v>29-Apr</c:v>
                  </c:pt>
                  <c:pt idx="109">
                    <c:v>30-Apr</c:v>
                  </c:pt>
                </c:lvl>
                <c:lvl>
                  <c:pt idx="0">
                    <c:v>Jan</c:v>
                  </c:pt>
                  <c:pt idx="26">
                    <c:v>Feb</c:v>
                  </c:pt>
                  <c:pt idx="52">
                    <c:v>Mar</c:v>
                  </c:pt>
                  <c:pt idx="81">
                    <c:v>Apr</c:v>
                  </c:pt>
                </c:lvl>
              </c:multiLvlStrCache>
            </c:multiLvlStrRef>
          </c:cat>
          <c:val>
            <c:numRef>
              <c:f>'Monthly Trend'!$B$4:$B$118</c:f>
              <c:numCache>
                <c:formatCode>General</c:formatCode>
                <c:ptCount val="110"/>
                <c:pt idx="0">
                  <c:v>57895</c:v>
                </c:pt>
                <c:pt idx="1">
                  <c:v>183518</c:v>
                </c:pt>
                <c:pt idx="2">
                  <c:v>297277</c:v>
                </c:pt>
                <c:pt idx="3">
                  <c:v>271596</c:v>
                </c:pt>
                <c:pt idx="4">
                  <c:v>131502</c:v>
                </c:pt>
                <c:pt idx="5">
                  <c:v>407365</c:v>
                </c:pt>
                <c:pt idx="6">
                  <c:v>248588</c:v>
                </c:pt>
                <c:pt idx="7">
                  <c:v>56436</c:v>
                </c:pt>
                <c:pt idx="8">
                  <c:v>226192</c:v>
                </c:pt>
                <c:pt idx="9">
                  <c:v>130006</c:v>
                </c:pt>
                <c:pt idx="10">
                  <c:v>75665</c:v>
                </c:pt>
                <c:pt idx="11">
                  <c:v>341193</c:v>
                </c:pt>
                <c:pt idx="12">
                  <c:v>135762</c:v>
                </c:pt>
                <c:pt idx="13">
                  <c:v>241256</c:v>
                </c:pt>
                <c:pt idx="14">
                  <c:v>197544</c:v>
                </c:pt>
                <c:pt idx="15">
                  <c:v>313212</c:v>
                </c:pt>
                <c:pt idx="16">
                  <c:v>79926</c:v>
                </c:pt>
                <c:pt idx="17">
                  <c:v>155352</c:v>
                </c:pt>
                <c:pt idx="18">
                  <c:v>15219</c:v>
                </c:pt>
                <c:pt idx="19">
                  <c:v>151955</c:v>
                </c:pt>
                <c:pt idx="20">
                  <c:v>505366</c:v>
                </c:pt>
                <c:pt idx="21">
                  <c:v>229003</c:v>
                </c:pt>
                <c:pt idx="22">
                  <c:v>67716</c:v>
                </c:pt>
                <c:pt idx="23">
                  <c:v>62574</c:v>
                </c:pt>
                <c:pt idx="24">
                  <c:v>60170</c:v>
                </c:pt>
                <c:pt idx="25">
                  <c:v>54755</c:v>
                </c:pt>
                <c:pt idx="26">
                  <c:v>63447</c:v>
                </c:pt>
                <c:pt idx="27">
                  <c:v>62660</c:v>
                </c:pt>
                <c:pt idx="28">
                  <c:v>143178</c:v>
                </c:pt>
                <c:pt idx="29">
                  <c:v>57264</c:v>
                </c:pt>
                <c:pt idx="30">
                  <c:v>236305</c:v>
                </c:pt>
                <c:pt idx="31">
                  <c:v>498892</c:v>
                </c:pt>
                <c:pt idx="32">
                  <c:v>241931</c:v>
                </c:pt>
                <c:pt idx="33">
                  <c:v>207841</c:v>
                </c:pt>
                <c:pt idx="34">
                  <c:v>198174</c:v>
                </c:pt>
                <c:pt idx="35">
                  <c:v>48714</c:v>
                </c:pt>
                <c:pt idx="36">
                  <c:v>61425</c:v>
                </c:pt>
                <c:pt idx="37">
                  <c:v>344540</c:v>
                </c:pt>
                <c:pt idx="38">
                  <c:v>274502</c:v>
                </c:pt>
                <c:pt idx="39">
                  <c:v>624686</c:v>
                </c:pt>
                <c:pt idx="40">
                  <c:v>525284</c:v>
                </c:pt>
                <c:pt idx="41">
                  <c:v>137125</c:v>
                </c:pt>
                <c:pt idx="42">
                  <c:v>218650</c:v>
                </c:pt>
                <c:pt idx="43">
                  <c:v>684608</c:v>
                </c:pt>
                <c:pt idx="44">
                  <c:v>153120</c:v>
                </c:pt>
                <c:pt idx="45">
                  <c:v>58413</c:v>
                </c:pt>
                <c:pt idx="46">
                  <c:v>32416</c:v>
                </c:pt>
                <c:pt idx="47">
                  <c:v>294782</c:v>
                </c:pt>
                <c:pt idx="48">
                  <c:v>131312</c:v>
                </c:pt>
                <c:pt idx="49">
                  <c:v>221906</c:v>
                </c:pt>
                <c:pt idx="50">
                  <c:v>416067</c:v>
                </c:pt>
                <c:pt idx="51">
                  <c:v>144365</c:v>
                </c:pt>
                <c:pt idx="52">
                  <c:v>185359</c:v>
                </c:pt>
                <c:pt idx="53">
                  <c:v>163816</c:v>
                </c:pt>
                <c:pt idx="54">
                  <c:v>482939</c:v>
                </c:pt>
                <c:pt idx="55">
                  <c:v>398602</c:v>
                </c:pt>
                <c:pt idx="56">
                  <c:v>91685</c:v>
                </c:pt>
                <c:pt idx="57">
                  <c:v>362886</c:v>
                </c:pt>
                <c:pt idx="58">
                  <c:v>281391</c:v>
                </c:pt>
                <c:pt idx="59">
                  <c:v>66908</c:v>
                </c:pt>
                <c:pt idx="60">
                  <c:v>218664</c:v>
                </c:pt>
                <c:pt idx="61">
                  <c:v>138416</c:v>
                </c:pt>
                <c:pt idx="62">
                  <c:v>178630</c:v>
                </c:pt>
                <c:pt idx="63">
                  <c:v>51847</c:v>
                </c:pt>
                <c:pt idx="64">
                  <c:v>22415</c:v>
                </c:pt>
                <c:pt idx="65">
                  <c:v>249820</c:v>
                </c:pt>
                <c:pt idx="66">
                  <c:v>99064</c:v>
                </c:pt>
                <c:pt idx="67">
                  <c:v>225947</c:v>
                </c:pt>
                <c:pt idx="68">
                  <c:v>399174</c:v>
                </c:pt>
                <c:pt idx="69">
                  <c:v>317137</c:v>
                </c:pt>
                <c:pt idx="70">
                  <c:v>103167</c:v>
                </c:pt>
                <c:pt idx="71">
                  <c:v>244525</c:v>
                </c:pt>
                <c:pt idx="72">
                  <c:v>269607</c:v>
                </c:pt>
                <c:pt idx="73">
                  <c:v>277895</c:v>
                </c:pt>
                <c:pt idx="74">
                  <c:v>172202</c:v>
                </c:pt>
                <c:pt idx="75">
                  <c:v>313083</c:v>
                </c:pt>
                <c:pt idx="76">
                  <c:v>98896</c:v>
                </c:pt>
                <c:pt idx="77">
                  <c:v>211118</c:v>
                </c:pt>
                <c:pt idx="78">
                  <c:v>269038</c:v>
                </c:pt>
                <c:pt idx="79">
                  <c:v>60380</c:v>
                </c:pt>
                <c:pt idx="80">
                  <c:v>233291</c:v>
                </c:pt>
                <c:pt idx="81">
                  <c:v>217088</c:v>
                </c:pt>
                <c:pt idx="82">
                  <c:v>155438</c:v>
                </c:pt>
                <c:pt idx="83">
                  <c:v>95818</c:v>
                </c:pt>
                <c:pt idx="84">
                  <c:v>377348</c:v>
                </c:pt>
                <c:pt idx="85">
                  <c:v>516153</c:v>
                </c:pt>
                <c:pt idx="86">
                  <c:v>153440</c:v>
                </c:pt>
                <c:pt idx="87">
                  <c:v>282368</c:v>
                </c:pt>
                <c:pt idx="88">
                  <c:v>28946</c:v>
                </c:pt>
                <c:pt idx="89">
                  <c:v>277316</c:v>
                </c:pt>
                <c:pt idx="90">
                  <c:v>375464</c:v>
                </c:pt>
                <c:pt idx="91">
                  <c:v>119820</c:v>
                </c:pt>
                <c:pt idx="92">
                  <c:v>297639</c:v>
                </c:pt>
                <c:pt idx="93">
                  <c:v>273245</c:v>
                </c:pt>
                <c:pt idx="94">
                  <c:v>131158</c:v>
                </c:pt>
                <c:pt idx="95">
                  <c:v>271152</c:v>
                </c:pt>
                <c:pt idx="96">
                  <c:v>168752</c:v>
                </c:pt>
                <c:pt idx="97">
                  <c:v>94465</c:v>
                </c:pt>
                <c:pt idx="98">
                  <c:v>210096</c:v>
                </c:pt>
                <c:pt idx="99">
                  <c:v>122853</c:v>
                </c:pt>
                <c:pt idx="100">
                  <c:v>193248</c:v>
                </c:pt>
                <c:pt idx="101">
                  <c:v>137605</c:v>
                </c:pt>
                <c:pt idx="102">
                  <c:v>104003</c:v>
                </c:pt>
                <c:pt idx="103">
                  <c:v>325774</c:v>
                </c:pt>
                <c:pt idx="104">
                  <c:v>111930</c:v>
                </c:pt>
                <c:pt idx="105">
                  <c:v>77034</c:v>
                </c:pt>
                <c:pt idx="106">
                  <c:v>444742</c:v>
                </c:pt>
                <c:pt idx="107">
                  <c:v>372982</c:v>
                </c:pt>
                <c:pt idx="108">
                  <c:v>46452</c:v>
                </c:pt>
                <c:pt idx="109">
                  <c:v>365321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33-4894-9DCA-D02B4BAB6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0452335"/>
        <c:axId val="240453775"/>
      </c:lineChart>
      <c:catAx>
        <c:axId val="24045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453775"/>
        <c:crosses val="autoZero"/>
        <c:auto val="1"/>
        <c:lblAlgn val="ctr"/>
        <c:lblOffset val="100"/>
        <c:noMultiLvlLbl val="0"/>
      </c:catAx>
      <c:valAx>
        <c:axId val="24045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45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[sales_dashboard.xlsx]Category Sales!PivotTable1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Sales'!$A$4:$A$7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Fashion</c:v>
                </c:pt>
              </c:strCache>
            </c:strRef>
          </c:cat>
          <c:val>
            <c:numRef>
              <c:f>'Category Sales'!$B$4:$B$7</c:f>
              <c:numCache>
                <c:formatCode>General</c:formatCode>
                <c:ptCount val="3"/>
                <c:pt idx="0">
                  <c:v>6469136</c:v>
                </c:pt>
                <c:pt idx="1">
                  <c:v>8039933</c:v>
                </c:pt>
                <c:pt idx="2">
                  <c:v>8805133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04-4156-A86B-10C12BCCD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5723663"/>
        <c:axId val="1795724623"/>
      </c:barChart>
      <c:catAx>
        <c:axId val="179572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724623"/>
        <c:crosses val="autoZero"/>
        <c:auto val="1"/>
        <c:lblAlgn val="ctr"/>
        <c:lblOffset val="100"/>
        <c:noMultiLvlLbl val="0"/>
      </c:catAx>
      <c:valAx>
        <c:axId val="179572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723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[sales_dashboard.xlsx]City Sales!PivotTable2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City</a:t>
            </a:r>
          </a:p>
        </c:rich>
      </c:tx>
      <c:layout>
        <c:manualLayout>
          <c:xMode val="edge"/>
          <c:yMode val="edge"/>
          <c:x val="0.43164781005580721"/>
          <c:y val="5.1274445957413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'City Sales'!$A$4:$A$9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Kolkata</c:v>
                </c:pt>
                <c:pt idx="4">
                  <c:v>Mumbai</c:v>
                </c:pt>
              </c:strCache>
            </c:strRef>
          </c:cat>
          <c:val>
            <c:numRef>
              <c:f>'City Sales'!$B$4:$B$9</c:f>
              <c:numCache>
                <c:formatCode>General</c:formatCode>
                <c:ptCount val="5"/>
                <c:pt idx="0">
                  <c:v>3859681</c:v>
                </c:pt>
                <c:pt idx="1">
                  <c:v>3597919</c:v>
                </c:pt>
                <c:pt idx="2">
                  <c:v>4668559</c:v>
                </c:pt>
                <c:pt idx="3">
                  <c:v>5510474</c:v>
                </c:pt>
                <c:pt idx="4">
                  <c:v>5677569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23-4FEF-B039-83368883E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0472159"/>
        <c:axId val="290467359"/>
      </c:barChart>
      <c:catAx>
        <c:axId val="29047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467359"/>
        <c:crosses val="autoZero"/>
        <c:auto val="1"/>
        <c:lblAlgn val="ctr"/>
        <c:lblOffset val="100"/>
        <c:noMultiLvlLbl val="0"/>
      </c:catAx>
      <c:valAx>
        <c:axId val="29046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47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[sales_dashboard.xlsx]Monthly Trend!PivotTable11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'Monthly Trend'!$A$4:$A$118</c:f>
              <c:multiLvlStrCache>
                <c:ptCount val="110"/>
                <c:lvl>
                  <c:pt idx="0">
                    <c:v>02-Jan</c:v>
                  </c:pt>
                  <c:pt idx="1">
                    <c:v>03-Jan</c:v>
                  </c:pt>
                  <c:pt idx="2">
                    <c:v>04-Jan</c:v>
                  </c:pt>
                  <c:pt idx="3">
                    <c:v>05-Jan</c:v>
                  </c:pt>
                  <c:pt idx="4">
                    <c:v>06-Jan</c:v>
                  </c:pt>
                  <c:pt idx="5">
                    <c:v>08-Jan</c:v>
                  </c:pt>
                  <c:pt idx="6">
                    <c:v>09-Jan</c:v>
                  </c:pt>
                  <c:pt idx="7">
                    <c:v>10-Jan</c:v>
                  </c:pt>
                  <c:pt idx="8">
                    <c:v>11-Jan</c:v>
                  </c:pt>
                  <c:pt idx="9">
                    <c:v>12-Jan</c:v>
                  </c:pt>
                  <c:pt idx="10">
                    <c:v>13-Jan</c:v>
                  </c:pt>
                  <c:pt idx="11">
                    <c:v>15-Jan</c:v>
                  </c:pt>
                  <c:pt idx="12">
                    <c:v>16-Jan</c:v>
                  </c:pt>
                  <c:pt idx="13">
                    <c:v>17-Jan</c:v>
                  </c:pt>
                  <c:pt idx="14">
                    <c:v>19-Jan</c:v>
                  </c:pt>
                  <c:pt idx="15">
                    <c:v>20-Jan</c:v>
                  </c:pt>
                  <c:pt idx="16">
                    <c:v>21-Jan</c:v>
                  </c:pt>
                  <c:pt idx="17">
                    <c:v>22-Jan</c:v>
                  </c:pt>
                  <c:pt idx="18">
                    <c:v>23-Jan</c:v>
                  </c:pt>
                  <c:pt idx="19">
                    <c:v>24-Jan</c:v>
                  </c:pt>
                  <c:pt idx="20">
                    <c:v>25-Jan</c:v>
                  </c:pt>
                  <c:pt idx="21">
                    <c:v>26-Jan</c:v>
                  </c:pt>
                  <c:pt idx="22">
                    <c:v>27-Jan</c:v>
                  </c:pt>
                  <c:pt idx="23">
                    <c:v>28-Jan</c:v>
                  </c:pt>
                  <c:pt idx="24">
                    <c:v>29-Jan</c:v>
                  </c:pt>
                  <c:pt idx="25">
                    <c:v>31-Jan</c:v>
                  </c:pt>
                  <c:pt idx="26">
                    <c:v>01-Feb</c:v>
                  </c:pt>
                  <c:pt idx="27">
                    <c:v>02-Feb</c:v>
                  </c:pt>
                  <c:pt idx="28">
                    <c:v>03-Feb</c:v>
                  </c:pt>
                  <c:pt idx="29">
                    <c:v>05-Feb</c:v>
                  </c:pt>
                  <c:pt idx="30">
                    <c:v>07-Feb</c:v>
                  </c:pt>
                  <c:pt idx="31">
                    <c:v>08-Feb</c:v>
                  </c:pt>
                  <c:pt idx="32">
                    <c:v>09-Feb</c:v>
                  </c:pt>
                  <c:pt idx="33">
                    <c:v>10-Feb</c:v>
                  </c:pt>
                  <c:pt idx="34">
                    <c:v>11-Feb</c:v>
                  </c:pt>
                  <c:pt idx="35">
                    <c:v>12-Feb</c:v>
                  </c:pt>
                  <c:pt idx="36">
                    <c:v>13-Feb</c:v>
                  </c:pt>
                  <c:pt idx="37">
                    <c:v>14-Feb</c:v>
                  </c:pt>
                  <c:pt idx="38">
                    <c:v>15-Feb</c:v>
                  </c:pt>
                  <c:pt idx="39">
                    <c:v>16-Feb</c:v>
                  </c:pt>
                  <c:pt idx="40">
                    <c:v>17-Feb</c:v>
                  </c:pt>
                  <c:pt idx="41">
                    <c:v>18-Feb</c:v>
                  </c:pt>
                  <c:pt idx="42">
                    <c:v>19-Feb</c:v>
                  </c:pt>
                  <c:pt idx="43">
                    <c:v>20-Feb</c:v>
                  </c:pt>
                  <c:pt idx="44">
                    <c:v>21-Feb</c:v>
                  </c:pt>
                  <c:pt idx="45">
                    <c:v>23-Feb</c:v>
                  </c:pt>
                  <c:pt idx="46">
                    <c:v>24-Feb</c:v>
                  </c:pt>
                  <c:pt idx="47">
                    <c:v>25-Feb</c:v>
                  </c:pt>
                  <c:pt idx="48">
                    <c:v>26-Feb</c:v>
                  </c:pt>
                  <c:pt idx="49">
                    <c:v>27-Feb</c:v>
                  </c:pt>
                  <c:pt idx="50">
                    <c:v>28-Feb</c:v>
                  </c:pt>
                  <c:pt idx="51">
                    <c:v>29-Feb</c:v>
                  </c:pt>
                  <c:pt idx="52">
                    <c:v>01-Mar</c:v>
                  </c:pt>
                  <c:pt idx="53">
                    <c:v>02-Mar</c:v>
                  </c:pt>
                  <c:pt idx="54">
                    <c:v>03-Mar</c:v>
                  </c:pt>
                  <c:pt idx="55">
                    <c:v>05-Mar</c:v>
                  </c:pt>
                  <c:pt idx="56">
                    <c:v>06-Mar</c:v>
                  </c:pt>
                  <c:pt idx="57">
                    <c:v>07-Mar</c:v>
                  </c:pt>
                  <c:pt idx="58">
                    <c:v>08-Mar</c:v>
                  </c:pt>
                  <c:pt idx="59">
                    <c:v>09-Mar</c:v>
                  </c:pt>
                  <c:pt idx="60">
                    <c:v>10-Mar</c:v>
                  </c:pt>
                  <c:pt idx="61">
                    <c:v>11-Mar</c:v>
                  </c:pt>
                  <c:pt idx="62">
                    <c:v>12-Mar</c:v>
                  </c:pt>
                  <c:pt idx="63">
                    <c:v>13-Mar</c:v>
                  </c:pt>
                  <c:pt idx="64">
                    <c:v>14-Mar</c:v>
                  </c:pt>
                  <c:pt idx="65">
                    <c:v>15-Mar</c:v>
                  </c:pt>
                  <c:pt idx="66">
                    <c:v>16-Mar</c:v>
                  </c:pt>
                  <c:pt idx="67">
                    <c:v>17-Mar</c:v>
                  </c:pt>
                  <c:pt idx="68">
                    <c:v>18-Mar</c:v>
                  </c:pt>
                  <c:pt idx="69">
                    <c:v>19-Mar</c:v>
                  </c:pt>
                  <c:pt idx="70">
                    <c:v>20-Mar</c:v>
                  </c:pt>
                  <c:pt idx="71">
                    <c:v>21-Mar</c:v>
                  </c:pt>
                  <c:pt idx="72">
                    <c:v>22-Mar</c:v>
                  </c:pt>
                  <c:pt idx="73">
                    <c:v>23-Mar</c:v>
                  </c:pt>
                  <c:pt idx="74">
                    <c:v>24-Mar</c:v>
                  </c:pt>
                  <c:pt idx="75">
                    <c:v>26-Mar</c:v>
                  </c:pt>
                  <c:pt idx="76">
                    <c:v>27-Mar</c:v>
                  </c:pt>
                  <c:pt idx="77">
                    <c:v>28-Mar</c:v>
                  </c:pt>
                  <c:pt idx="78">
                    <c:v>29-Mar</c:v>
                  </c:pt>
                  <c:pt idx="79">
                    <c:v>30-Mar</c:v>
                  </c:pt>
                  <c:pt idx="80">
                    <c:v>31-Mar</c:v>
                  </c:pt>
                  <c:pt idx="81">
                    <c:v>01-Apr</c:v>
                  </c:pt>
                  <c:pt idx="82">
                    <c:v>02-Apr</c:v>
                  </c:pt>
                  <c:pt idx="83">
                    <c:v>03-Apr</c:v>
                  </c:pt>
                  <c:pt idx="84">
                    <c:v>04-Apr</c:v>
                  </c:pt>
                  <c:pt idx="85">
                    <c:v>05-Apr</c:v>
                  </c:pt>
                  <c:pt idx="86">
                    <c:v>06-Apr</c:v>
                  </c:pt>
                  <c:pt idx="87">
                    <c:v>07-Apr</c:v>
                  </c:pt>
                  <c:pt idx="88">
                    <c:v>08-Apr</c:v>
                  </c:pt>
                  <c:pt idx="89">
                    <c:v>09-Apr</c:v>
                  </c:pt>
                  <c:pt idx="90">
                    <c:v>10-Apr</c:v>
                  </c:pt>
                  <c:pt idx="91">
                    <c:v>11-Apr</c:v>
                  </c:pt>
                  <c:pt idx="92">
                    <c:v>13-Apr</c:v>
                  </c:pt>
                  <c:pt idx="93">
                    <c:v>14-Apr</c:v>
                  </c:pt>
                  <c:pt idx="94">
                    <c:v>15-Apr</c:v>
                  </c:pt>
                  <c:pt idx="95">
                    <c:v>16-Apr</c:v>
                  </c:pt>
                  <c:pt idx="96">
                    <c:v>17-Apr</c:v>
                  </c:pt>
                  <c:pt idx="97">
                    <c:v>18-Apr</c:v>
                  </c:pt>
                  <c:pt idx="98">
                    <c:v>19-Apr</c:v>
                  </c:pt>
                  <c:pt idx="99">
                    <c:v>20-Apr</c:v>
                  </c:pt>
                  <c:pt idx="100">
                    <c:v>21-Apr</c:v>
                  </c:pt>
                  <c:pt idx="101">
                    <c:v>22-Apr</c:v>
                  </c:pt>
                  <c:pt idx="102">
                    <c:v>23-Apr</c:v>
                  </c:pt>
                  <c:pt idx="103">
                    <c:v>24-Apr</c:v>
                  </c:pt>
                  <c:pt idx="104">
                    <c:v>25-Apr</c:v>
                  </c:pt>
                  <c:pt idx="105">
                    <c:v>26-Apr</c:v>
                  </c:pt>
                  <c:pt idx="106">
                    <c:v>27-Apr</c:v>
                  </c:pt>
                  <c:pt idx="107">
                    <c:v>28-Apr</c:v>
                  </c:pt>
                  <c:pt idx="108">
                    <c:v>29-Apr</c:v>
                  </c:pt>
                  <c:pt idx="109">
                    <c:v>30-Apr</c:v>
                  </c:pt>
                </c:lvl>
                <c:lvl>
                  <c:pt idx="0">
                    <c:v>Jan</c:v>
                  </c:pt>
                  <c:pt idx="26">
                    <c:v>Feb</c:v>
                  </c:pt>
                  <c:pt idx="52">
                    <c:v>Mar</c:v>
                  </c:pt>
                  <c:pt idx="81">
                    <c:v>Apr</c:v>
                  </c:pt>
                </c:lvl>
              </c:multiLvlStrCache>
            </c:multiLvlStrRef>
          </c:cat>
          <c:val>
            <c:numRef>
              <c:f>'Monthly Trend'!$B$4:$B$118</c:f>
              <c:numCache>
                <c:formatCode>General</c:formatCode>
                <c:ptCount val="110"/>
                <c:pt idx="0">
                  <c:v>57895</c:v>
                </c:pt>
                <c:pt idx="1">
                  <c:v>183518</c:v>
                </c:pt>
                <c:pt idx="2">
                  <c:v>297277</c:v>
                </c:pt>
                <c:pt idx="3">
                  <c:v>271596</c:v>
                </c:pt>
                <c:pt idx="4">
                  <c:v>131502</c:v>
                </c:pt>
                <c:pt idx="5">
                  <c:v>407365</c:v>
                </c:pt>
                <c:pt idx="6">
                  <c:v>248588</c:v>
                </c:pt>
                <c:pt idx="7">
                  <c:v>56436</c:v>
                </c:pt>
                <c:pt idx="8">
                  <c:v>226192</c:v>
                </c:pt>
                <c:pt idx="9">
                  <c:v>130006</c:v>
                </c:pt>
                <c:pt idx="10">
                  <c:v>75665</c:v>
                </c:pt>
                <c:pt idx="11">
                  <c:v>341193</c:v>
                </c:pt>
                <c:pt idx="12">
                  <c:v>135762</c:v>
                </c:pt>
                <c:pt idx="13">
                  <c:v>241256</c:v>
                </c:pt>
                <c:pt idx="14">
                  <c:v>197544</c:v>
                </c:pt>
                <c:pt idx="15">
                  <c:v>313212</c:v>
                </c:pt>
                <c:pt idx="16">
                  <c:v>79926</c:v>
                </c:pt>
                <c:pt idx="17">
                  <c:v>155352</c:v>
                </c:pt>
                <c:pt idx="18">
                  <c:v>15219</c:v>
                </c:pt>
                <c:pt idx="19">
                  <c:v>151955</c:v>
                </c:pt>
                <c:pt idx="20">
                  <c:v>505366</c:v>
                </c:pt>
                <c:pt idx="21">
                  <c:v>229003</c:v>
                </c:pt>
                <c:pt idx="22">
                  <c:v>67716</c:v>
                </c:pt>
                <c:pt idx="23">
                  <c:v>62574</c:v>
                </c:pt>
                <c:pt idx="24">
                  <c:v>60170</c:v>
                </c:pt>
                <c:pt idx="25">
                  <c:v>54755</c:v>
                </c:pt>
                <c:pt idx="26">
                  <c:v>63447</c:v>
                </c:pt>
                <c:pt idx="27">
                  <c:v>62660</c:v>
                </c:pt>
                <c:pt idx="28">
                  <c:v>143178</c:v>
                </c:pt>
                <c:pt idx="29">
                  <c:v>57264</c:v>
                </c:pt>
                <c:pt idx="30">
                  <c:v>236305</c:v>
                </c:pt>
                <c:pt idx="31">
                  <c:v>498892</c:v>
                </c:pt>
                <c:pt idx="32">
                  <c:v>241931</c:v>
                </c:pt>
                <c:pt idx="33">
                  <c:v>207841</c:v>
                </c:pt>
                <c:pt idx="34">
                  <c:v>198174</c:v>
                </c:pt>
                <c:pt idx="35">
                  <c:v>48714</c:v>
                </c:pt>
                <c:pt idx="36">
                  <c:v>61425</c:v>
                </c:pt>
                <c:pt idx="37">
                  <c:v>344540</c:v>
                </c:pt>
                <c:pt idx="38">
                  <c:v>274502</c:v>
                </c:pt>
                <c:pt idx="39">
                  <c:v>624686</c:v>
                </c:pt>
                <c:pt idx="40">
                  <c:v>525284</c:v>
                </c:pt>
                <c:pt idx="41">
                  <c:v>137125</c:v>
                </c:pt>
                <c:pt idx="42">
                  <c:v>218650</c:v>
                </c:pt>
                <c:pt idx="43">
                  <c:v>684608</c:v>
                </c:pt>
                <c:pt idx="44">
                  <c:v>153120</c:v>
                </c:pt>
                <c:pt idx="45">
                  <c:v>58413</c:v>
                </c:pt>
                <c:pt idx="46">
                  <c:v>32416</c:v>
                </c:pt>
                <c:pt idx="47">
                  <c:v>294782</c:v>
                </c:pt>
                <c:pt idx="48">
                  <c:v>131312</c:v>
                </c:pt>
                <c:pt idx="49">
                  <c:v>221906</c:v>
                </c:pt>
                <c:pt idx="50">
                  <c:v>416067</c:v>
                </c:pt>
                <c:pt idx="51">
                  <c:v>144365</c:v>
                </c:pt>
                <c:pt idx="52">
                  <c:v>185359</c:v>
                </c:pt>
                <c:pt idx="53">
                  <c:v>163816</c:v>
                </c:pt>
                <c:pt idx="54">
                  <c:v>482939</c:v>
                </c:pt>
                <c:pt idx="55">
                  <c:v>398602</c:v>
                </c:pt>
                <c:pt idx="56">
                  <c:v>91685</c:v>
                </c:pt>
                <c:pt idx="57">
                  <c:v>362886</c:v>
                </c:pt>
                <c:pt idx="58">
                  <c:v>281391</c:v>
                </c:pt>
                <c:pt idx="59">
                  <c:v>66908</c:v>
                </c:pt>
                <c:pt idx="60">
                  <c:v>218664</c:v>
                </c:pt>
                <c:pt idx="61">
                  <c:v>138416</c:v>
                </c:pt>
                <c:pt idx="62">
                  <c:v>178630</c:v>
                </c:pt>
                <c:pt idx="63">
                  <c:v>51847</c:v>
                </c:pt>
                <c:pt idx="64">
                  <c:v>22415</c:v>
                </c:pt>
                <c:pt idx="65">
                  <c:v>249820</c:v>
                </c:pt>
                <c:pt idx="66">
                  <c:v>99064</c:v>
                </c:pt>
                <c:pt idx="67">
                  <c:v>225947</c:v>
                </c:pt>
                <c:pt idx="68">
                  <c:v>399174</c:v>
                </c:pt>
                <c:pt idx="69">
                  <c:v>317137</c:v>
                </c:pt>
                <c:pt idx="70">
                  <c:v>103167</c:v>
                </c:pt>
                <c:pt idx="71">
                  <c:v>244525</c:v>
                </c:pt>
                <c:pt idx="72">
                  <c:v>269607</c:v>
                </c:pt>
                <c:pt idx="73">
                  <c:v>277895</c:v>
                </c:pt>
                <c:pt idx="74">
                  <c:v>172202</c:v>
                </c:pt>
                <c:pt idx="75">
                  <c:v>313083</c:v>
                </c:pt>
                <c:pt idx="76">
                  <c:v>98896</c:v>
                </c:pt>
                <c:pt idx="77">
                  <c:v>211118</c:v>
                </c:pt>
                <c:pt idx="78">
                  <c:v>269038</c:v>
                </c:pt>
                <c:pt idx="79">
                  <c:v>60380</c:v>
                </c:pt>
                <c:pt idx="80">
                  <c:v>233291</c:v>
                </c:pt>
                <c:pt idx="81">
                  <c:v>217088</c:v>
                </c:pt>
                <c:pt idx="82">
                  <c:v>155438</c:v>
                </c:pt>
                <c:pt idx="83">
                  <c:v>95818</c:v>
                </c:pt>
                <c:pt idx="84">
                  <c:v>377348</c:v>
                </c:pt>
                <c:pt idx="85">
                  <c:v>516153</c:v>
                </c:pt>
                <c:pt idx="86">
                  <c:v>153440</c:v>
                </c:pt>
                <c:pt idx="87">
                  <c:v>282368</c:v>
                </c:pt>
                <c:pt idx="88">
                  <c:v>28946</c:v>
                </c:pt>
                <c:pt idx="89">
                  <c:v>277316</c:v>
                </c:pt>
                <c:pt idx="90">
                  <c:v>375464</c:v>
                </c:pt>
                <c:pt idx="91">
                  <c:v>119820</c:v>
                </c:pt>
                <c:pt idx="92">
                  <c:v>297639</c:v>
                </c:pt>
                <c:pt idx="93">
                  <c:v>273245</c:v>
                </c:pt>
                <c:pt idx="94">
                  <c:v>131158</c:v>
                </c:pt>
                <c:pt idx="95">
                  <c:v>271152</c:v>
                </c:pt>
                <c:pt idx="96">
                  <c:v>168752</c:v>
                </c:pt>
                <c:pt idx="97">
                  <c:v>94465</c:v>
                </c:pt>
                <c:pt idx="98">
                  <c:v>210096</c:v>
                </c:pt>
                <c:pt idx="99">
                  <c:v>122853</c:v>
                </c:pt>
                <c:pt idx="100">
                  <c:v>193248</c:v>
                </c:pt>
                <c:pt idx="101">
                  <c:v>137605</c:v>
                </c:pt>
                <c:pt idx="102">
                  <c:v>104003</c:v>
                </c:pt>
                <c:pt idx="103">
                  <c:v>325774</c:v>
                </c:pt>
                <c:pt idx="104">
                  <c:v>111930</c:v>
                </c:pt>
                <c:pt idx="105">
                  <c:v>77034</c:v>
                </c:pt>
                <c:pt idx="106">
                  <c:v>444742</c:v>
                </c:pt>
                <c:pt idx="107">
                  <c:v>372982</c:v>
                </c:pt>
                <c:pt idx="108">
                  <c:v>46452</c:v>
                </c:pt>
                <c:pt idx="109">
                  <c:v>365321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B5-4C91-A079-D9218F7A2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0452335"/>
        <c:axId val="240453775"/>
      </c:lineChart>
      <c:catAx>
        <c:axId val="24045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453775"/>
        <c:crosses val="autoZero"/>
        <c:auto val="1"/>
        <c:lblAlgn val="ctr"/>
        <c:lblOffset val="100"/>
        <c:noMultiLvlLbl val="0"/>
      </c:catAx>
      <c:valAx>
        <c:axId val="24045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45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1</xdr:row>
      <xdr:rowOff>22860</xdr:rowOff>
    </xdr:from>
    <xdr:to>
      <xdr:col>15</xdr:col>
      <xdr:colOff>243840</xdr:colOff>
      <xdr:row>29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957B20-3B2D-293A-4F39-C7317161EA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129540</xdr:colOff>
      <xdr:row>0</xdr:row>
      <xdr:rowOff>160020</xdr:rowOff>
    </xdr:from>
    <xdr:to>
      <xdr:col>15</xdr:col>
      <xdr:colOff>419100</xdr:colOff>
      <xdr:row>28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2FE413-4AD7-4395-F4FB-E0B9D738A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472440</xdr:colOff>
      <xdr:row>1</xdr:row>
      <xdr:rowOff>15240</xdr:rowOff>
    </xdr:from>
    <xdr:to>
      <xdr:col>14</xdr:col>
      <xdr:colOff>38100</xdr:colOff>
      <xdr:row>26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0A517C-34FA-D9C7-DEC2-03F918E34A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243840</xdr:colOff>
      <xdr:row>5</xdr:row>
      <xdr:rowOff>167640</xdr:rowOff>
    </xdr:from>
    <xdr:to>
      <xdr:col>7</xdr:col>
      <xdr:colOff>381000</xdr:colOff>
      <xdr:row>19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517DB6-34EE-42E2-BEE4-E2033B890C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327660</xdr:colOff>
      <xdr:row>5</xdr:row>
      <xdr:rowOff>175260</xdr:rowOff>
    </xdr:from>
    <xdr:to>
      <xdr:col>16</xdr:col>
      <xdr:colOff>7620</xdr:colOff>
      <xdr:row>19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6D0575-91CD-4DD1-A0FF-E13A00EA6A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541020</xdr:colOff>
      <xdr:row>24</xdr:row>
      <xdr:rowOff>15240</xdr:rowOff>
    </xdr:from>
    <xdr:to>
      <xdr:col>13</xdr:col>
      <xdr:colOff>7620</xdr:colOff>
      <xdr:row>42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2FC69C-D9DB-4840-BCBE-3A08F989A1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ay Joshi" refreshedDate="46135.674562384258" createdVersion="8" refreshedVersion="8" minRefreshableVersion="3" recordCount="300" xr:uid="{DD8BE066-1BD6-40FB-9785-6B8DA263A547}">
  <cacheSource type="worksheet">
    <worksheetSource ref="A1:H301" sheet="Data"/>
  </cacheSource>
  <cacheFields count="8">
    <cacheField name="Order ID" numFmtId="0">
      <sharedItems containsSemiMixedTypes="0" containsString="0" containsNumber="1" containsInteger="1" minValue="1" maxValue="300"/>
    </cacheField>
    <cacheField name="Product" numFmtId="0">
      <sharedItems/>
    </cacheField>
    <cacheField name="Category" numFmtId="0">
      <sharedItems count="3">
        <s v="Electronics"/>
        <s v="Fashion"/>
        <s v="Accessories"/>
      </sharedItems>
    </cacheField>
    <cacheField name="Price" numFmtId="0">
      <sharedItems containsSemiMixedTypes="0" containsString="0" containsNumber="1" containsInteger="1" minValue="870" maxValue="49964" count="300">
        <n v="10857"/>
        <n v="38870"/>
        <n v="29177"/>
        <n v="11101"/>
        <n v="36982"/>
        <n v="41696"/>
        <n v="22536"/>
        <n v="18471"/>
        <n v="32446"/>
        <n v="19471"/>
        <n v="40107"/>
        <n v="28317"/>
        <n v="28129"/>
        <n v="33482"/>
        <n v="28202"/>
        <n v="19319"/>
        <n v="6609"/>
        <n v="15594"/>
        <n v="29285"/>
        <n v="46883"/>
        <n v="4823"/>
        <n v="18057"/>
        <n v="12628"/>
        <n v="21762"/>
        <n v="15863"/>
        <n v="11887"/>
        <n v="48585"/>
        <n v="7024"/>
        <n v="34736"/>
        <n v="15484"/>
        <n v="27628"/>
        <n v="10951"/>
        <n v="10440"/>
        <n v="36820"/>
        <n v="12038"/>
        <n v="22026"/>
        <n v="30119"/>
        <n v="41734"/>
        <n v="870"/>
        <n v="47661"/>
        <n v="32565"/>
        <n v="22164"/>
        <n v="22201"/>
        <n v="24260"/>
        <n v="24610"/>
        <n v="36267"/>
        <n v="24403"/>
        <n v="6872"/>
        <n v="5024"/>
        <n v="39801"/>
        <n v="3215"/>
        <n v="38342"/>
        <n v="46666"/>
        <n v="42281"/>
        <n v="10383"/>
        <n v="16221"/>
        <n v="25195"/>
        <n v="16746"/>
        <n v="38300"/>
        <n v="19239"/>
        <n v="49789"/>
        <n v="17309"/>
        <n v="33476"/>
        <n v="12576"/>
        <n v="22520"/>
        <n v="20269"/>
        <n v="10377"/>
        <n v="37491"/>
        <n v="38242"/>
        <n v="15270"/>
        <n v="46045"/>
        <n v="16803"/>
        <n v="7379"/>
        <n v="21238"/>
        <n v="36965"/>
        <n v="913"/>
        <n v="8345"/>
        <n v="49386"/>
        <n v="20644"/>
        <n v="34734"/>
        <n v="33691"/>
        <n v="2659"/>
        <n v="8122"/>
        <n v="36656"/>
        <n v="5107"/>
        <n v="47261"/>
        <n v="33475"/>
        <n v="40285"/>
        <n v="27356"/>
        <n v="30236"/>
        <n v="3523"/>
        <n v="34091"/>
        <n v="12946"/>
        <n v="42625"/>
        <n v="15665"/>
        <n v="36752"/>
        <n v="23802"/>
        <n v="27410"/>
        <n v="43044"/>
        <n v="16208"/>
        <n v="30190"/>
        <n v="30020"/>
        <n v="17911"/>
        <n v="27342"/>
        <n v="9614"/>
        <n v="19165"/>
        <n v="19093"/>
        <n v="24159"/>
        <n v="18873"/>
        <n v="15710"/>
        <n v="49116"/>
        <n v="19943"/>
        <n v="9007"/>
        <n v="38362"/>
        <n v="15335"/>
        <n v="42348"/>
        <n v="42196"/>
        <n v="3362"/>
        <n v="13438"/>
        <n v="49663"/>
        <n v="14473"/>
        <n v="42655"/>
        <n v="36418"/>
        <n v="4483"/>
        <n v="39701"/>
        <n v="32049"/>
        <n v="7545"/>
        <n v="42636"/>
        <n v="28281"/>
        <n v="23739"/>
        <n v="44239"/>
        <n v="11700"/>
        <n v="20500"/>
        <n v="47470"/>
        <n v="46988"/>
        <n v="32567"/>
        <n v="24016"/>
        <n v="49964"/>
        <n v="1668"/>
        <n v="49599"/>
        <n v="37835"/>
        <n v="21948"/>
        <n v="31159"/>
        <n v="46153"/>
        <n v="47296"/>
        <n v="37716"/>
        <n v="23417"/>
        <n v="11770"/>
        <n v="29320"/>
        <n v="28456"/>
        <n v="36955"/>
        <n v="40020"/>
        <n v="49837"/>
        <n v="43158"/>
        <n v="18762"/>
        <n v="21149"/>
        <n v="38221"/>
        <n v="45108"/>
        <n v="20025"/>
        <n v="27059"/>
        <n v="38045"/>
        <n v="27692"/>
        <n v="21441"/>
        <n v="7703"/>
        <n v="49561"/>
        <n v="6437"/>
        <n v="41628"/>
        <n v="49448"/>
        <n v="29122"/>
        <n v="2447"/>
        <n v="19452"/>
        <n v="47731"/>
        <n v="1020"/>
        <n v="10752"/>
        <n v="1735"/>
        <n v="32614"/>
        <n v="49753"/>
        <n v="15219"/>
        <n v="38280"/>
        <n v="43681"/>
        <n v="22534"/>
        <n v="13342"/>
        <n v="30800"/>
        <n v="4461"/>
        <n v="23115"/>
        <n v="12101"/>
        <n v="18960"/>
        <n v="47049"/>
        <n v="17056"/>
        <n v="29706"/>
        <n v="7439"/>
        <n v="26501"/>
        <n v="25867"/>
        <n v="26830"/>
        <n v="5647"/>
        <n v="36068"/>
        <n v="18163"/>
        <n v="11703"/>
        <n v="32393"/>
        <n v="28449"/>
        <n v="22591"/>
        <n v="33971"/>
        <n v="15173"/>
        <n v="31008"/>
        <n v="8948"/>
        <n v="37061"/>
        <n v="47931"/>
        <n v="36966"/>
        <n v="23886"/>
        <n v="21208"/>
        <n v="49473"/>
        <n v="42117"/>
        <n v="29545"/>
        <n v="5591"/>
        <n v="11072"/>
        <n v="4661"/>
        <n v="1767"/>
        <n v="3637"/>
        <n v="45874"/>
        <n v="10309"/>
        <n v="40485"/>
        <n v="24366"/>
        <n v="29507"/>
        <n v="14290"/>
        <n v="14417"/>
        <n v="23952"/>
        <n v="37403"/>
        <n v="32934"/>
        <n v="29744"/>
        <n v="46163"/>
        <n v="27724"/>
        <n v="17403"/>
        <n v="37242"/>
        <n v="35850"/>
        <n v="48281"/>
        <n v="11994"/>
        <n v="3546"/>
        <n v="16665"/>
        <n v="39398"/>
        <n v="48958"/>
        <n v="34855"/>
        <n v="43870"/>
        <n v="3896"/>
        <n v="20406"/>
        <n v="44942"/>
        <n v="16433"/>
        <n v="25323"/>
        <n v="13963"/>
        <n v="17685"/>
        <n v="26422"/>
        <n v="3573"/>
        <n v="19066"/>
        <n v="42809"/>
        <n v="10406"/>
        <n v="47408"/>
        <n v="48273"/>
        <n v="40954"/>
        <n v="32051"/>
        <n v="2771"/>
        <n v="41795"/>
        <n v="26847"/>
        <n v="24930"/>
        <n v="6935"/>
        <n v="9771"/>
        <n v="45477"/>
        <n v="42222"/>
        <n v="33646"/>
        <n v="7059"/>
        <n v="5859"/>
        <n v="37704"/>
        <n v="7486"/>
        <n v="36813"/>
        <n v="44014"/>
        <n v="5708"/>
        <n v="19957"/>
        <n v="41421"/>
        <n v="31975"/>
        <n v="36362"/>
        <n v="43076"/>
        <n v="48714"/>
        <n v="41089"/>
        <n v="16581"/>
        <n v="29659"/>
        <n v="1383"/>
        <n v="31713"/>
        <n v="46823"/>
        <n v="8708"/>
        <n v="45809"/>
        <n v="39952"/>
        <n v="40515"/>
        <n v="25975"/>
        <n v="42204"/>
        <n v="42265"/>
        <n v="5037"/>
        <n v="14109"/>
        <n v="16929"/>
        <n v="13441"/>
        <n v="38016"/>
        <n v="41337"/>
        <n v="22561"/>
      </sharedItems>
    </cacheField>
    <cacheField name="Quantity" numFmtId="0">
      <sharedItems containsSemiMixedTypes="0" containsString="0" containsNumber="1" containsInteger="1" minValue="1" maxValue="5"/>
    </cacheField>
    <cacheField name="Date" numFmtId="0">
      <sharedItems count="117">
        <s v="29-Feb-2024"/>
        <s v="15-Apr-2024"/>
        <s v="06-Apr-2024"/>
        <s v="15-Jan-2024"/>
        <s v="09-Apr-2024"/>
        <s v="28-Feb-2024"/>
        <s v="04-Jan-2024"/>
        <s v="08-Mar-2024"/>
        <s v="26-Apr-2024"/>
        <s v="23-Feb-2024"/>
        <s v="25-Jan-2024"/>
        <s v="27-Apr-2024"/>
        <s v="31-Mar-2024"/>
        <s v="05-Jan-2024"/>
        <s v="11-Apr-2024"/>
        <s v="11-Feb-2024"/>
        <s v="24-Jan-2024"/>
        <s v="26-Mar-2024"/>
        <s v="09-Mar-2024"/>
        <s v="16-Mar-2024"/>
        <s v="10-Feb-2024"/>
        <s v="13-Jan-2024"/>
        <s v="13-Apr-2024"/>
        <s v="18-Apr-2024"/>
        <s v="22-Jan-2024"/>
        <s v="21-Apr-2024"/>
        <s v="05-Mar-2024"/>
        <s v="29-Apr-2024"/>
        <s v="01-Mar-2024"/>
        <s v="31-Jan-2024"/>
        <s v="18-Mar-2024"/>
        <s v="20-Feb-2024"/>
        <s v="19-Feb-2024"/>
        <s v="17-Apr-2024"/>
        <s v="03-Jan-2024"/>
        <s v="01-Apr-2024"/>
        <s v="14-Feb-2024"/>
        <s v="16-Feb-2024"/>
        <s v="28-Apr-2024"/>
        <s v="21-Jan-2024"/>
        <s v="27-Feb-2024"/>
        <s v="21-Mar-2024"/>
        <s v="25-Apr-2024"/>
        <s v="14-Apr-2024"/>
        <s v="13-Mar-2024"/>
        <s v="20-Apr-2024"/>
        <s v="16-Apr-2024"/>
        <s v="13-Feb-2024"/>
        <s v="07-Apr-2024"/>
        <s v="12-Jan-2024"/>
        <s v="06-Jan-2024"/>
        <s v="02-Apr-2024"/>
        <s v="20-Mar-2024"/>
        <s v="19-Mar-2024"/>
        <s v="02-Jan-2024"/>
        <s v="06-Mar-2024"/>
        <s v="28-Mar-2024"/>
        <s v="17-Feb-2024"/>
        <s v="26-Feb-2024"/>
        <s v="19-Jan-2024"/>
        <s v="03-Mar-2024"/>
        <s v="04-Apr-2024"/>
        <s v="09-Jan-2024"/>
        <s v="28-Jan-2024"/>
        <s v="07-Feb-2024"/>
        <s v="22-Mar-2024"/>
        <s v="16-Jan-2024"/>
        <s v="17-Jan-2024"/>
        <s v="02-Feb-2024"/>
        <s v="05-Apr-2024"/>
        <s v="15-Feb-2024"/>
        <s v="24-Feb-2024"/>
        <s v="30-Mar-2024"/>
        <s v="08-Jan-2024"/>
        <s v="09-Feb-2024"/>
        <s v="23-Mar-2024"/>
        <s v="23-Apr-2024"/>
        <s v="08-Apr-2024"/>
        <s v="14-Mar-2024"/>
        <s v="11-Mar-2024"/>
        <s v="19-Apr-2024"/>
        <s v="03-Feb-2024"/>
        <s v="29-Mar-2024"/>
        <s v="15-Mar-2024"/>
        <s v="03-Apr-2024"/>
        <s v="29-Jan-2024"/>
        <s v="25-Feb-2024"/>
        <s v="11-Jan-2024"/>
        <s v="01-Feb-2024"/>
        <s v="27-Mar-2024"/>
        <s v="30-Apr-2024"/>
        <s v="22-Apr-2024"/>
        <s v="20-Jan-2024"/>
        <s v="26-Jan-2024"/>
        <s v="23-Jan-2024"/>
        <s v="21-Feb-2024"/>
        <s v="17-Mar-2024"/>
        <s v="07-Mar-2024"/>
        <s v="24-Apr-2024"/>
        <s v="10-Apr-2024"/>
        <s v="05-Feb-2024"/>
        <s v="08-Feb-2024"/>
        <s v="12-Mar-2024"/>
        <s v="24-Mar-2024"/>
        <s v="10-Mar-2024"/>
        <s v="02-Mar-2024"/>
        <s v="18-Feb-2024"/>
        <s v="12-Feb-2024"/>
        <s v="10-Jan-2024"/>
        <s v="27-Jan-2024"/>
        <s v="Formula1" f="1"/>
        <s v="Formula2" f="1"/>
        <s v="Formula3" f="1"/>
        <s v="Formula4" f="1"/>
        <s v="Formula5" f="1"/>
        <s v="Formula6" f="1"/>
        <s v="Formula7" f="1"/>
      </sharedItems>
    </cacheField>
    <cacheField name="City" numFmtId="0">
      <sharedItems count="5">
        <s v="Delhi"/>
        <s v="Chennai"/>
        <s v="Kolkata"/>
        <s v="Bangalore"/>
        <s v="Mumbai"/>
      </sharedItems>
    </cacheField>
    <cacheField name="Total sales" numFmtId="0">
      <sharedItems containsSemiMixedTypes="0" containsString="0" containsNumber="1" containsInteger="1" minValue="2739" maxValue="249820"/>
    </cacheField>
  </cacheFields>
  <calculatedItems count="7">
    <calculatedItem>
      <pivotArea cacheIndex="1" outline="0" fieldPosition="0">
        <references count="1">
          <reference field="5" count="1">
            <x v="110"/>
          </reference>
        </references>
      </pivotArea>
    </calculatedItem>
    <calculatedItem>
      <pivotArea cacheIndex="1" outline="0" fieldPosition="0">
        <references count="1">
          <reference field="5" count="1">
            <x v="111"/>
          </reference>
        </references>
      </pivotArea>
    </calculatedItem>
    <calculatedItem>
      <pivotArea cacheIndex="1" outline="0" fieldPosition="0">
        <references count="1">
          <reference field="5" count="1">
            <x v="112"/>
          </reference>
        </references>
      </pivotArea>
    </calculatedItem>
    <calculatedItem>
      <pivotArea cacheIndex="1" outline="0" fieldPosition="0">
        <references count="1">
          <reference field="5" count="1">
            <x v="113"/>
          </reference>
        </references>
      </pivotArea>
    </calculatedItem>
    <calculatedItem>
      <pivotArea cacheIndex="1" outline="0" fieldPosition="0">
        <references count="1">
          <reference field="5" count="1">
            <x v="114"/>
          </reference>
        </references>
      </pivotArea>
    </calculatedItem>
    <calculatedItem>
      <pivotArea cacheIndex="1" outline="0" fieldPosition="0">
        <references count="1">
          <reference field="5" count="1">
            <x v="115"/>
          </reference>
        </references>
      </pivotArea>
    </calculatedItem>
    <calculatedItem>
      <pivotArea cacheIndex="1" outline="0" fieldPosition="0">
        <references count="1">
          <reference field="5" count="1">
            <x v="116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ay Joshi" refreshedDate="46135.727291087962" createdVersion="8" refreshedVersion="8" minRefreshableVersion="3" recordCount="300" xr:uid="{42ECD426-EFB3-4F6D-9B56-EFE3C1687062}">
  <cacheSource type="worksheet">
    <worksheetSource name="Table1"/>
  </cacheSource>
  <cacheFields count="10">
    <cacheField name="Order ID" numFmtId="0">
      <sharedItems containsSemiMixedTypes="0" containsString="0" containsNumber="1" containsInteger="1" minValue="1" maxValue="300"/>
    </cacheField>
    <cacheField name="Product" numFmtId="0">
      <sharedItems/>
    </cacheField>
    <cacheField name="Category" numFmtId="0">
      <sharedItems/>
    </cacheField>
    <cacheField name="Price" numFmtId="0">
      <sharedItems containsSemiMixedTypes="0" containsString="0" containsNumber="1" containsInteger="1" minValue="870" maxValue="49964"/>
    </cacheField>
    <cacheField name="Quantity" numFmtId="0">
      <sharedItems containsSemiMixedTypes="0" containsString="0" containsNumber="1" containsInteger="1" minValue="1" maxValue="5"/>
    </cacheField>
    <cacheField name="Date" numFmtId="15">
      <sharedItems containsSemiMixedTypes="0" containsNonDate="0" containsDate="1" containsString="0" minDate="2024-01-02T00:00:00" maxDate="2024-05-01T00:00:00" count="110">
        <d v="2024-02-29T00:00:00"/>
        <d v="2024-04-15T00:00:00"/>
        <d v="2024-04-06T00:00:00"/>
        <d v="2024-01-15T00:00:00"/>
        <d v="2024-04-09T00:00:00"/>
        <d v="2024-02-28T00:00:00"/>
        <d v="2024-01-04T00:00:00"/>
        <d v="2024-03-08T00:00:00"/>
        <d v="2024-04-26T00:00:00"/>
        <d v="2024-02-23T00:00:00"/>
        <d v="2024-01-25T00:00:00"/>
        <d v="2024-04-27T00:00:00"/>
        <d v="2024-03-31T00:00:00"/>
        <d v="2024-01-05T00:00:00"/>
        <d v="2024-04-11T00:00:00"/>
        <d v="2024-02-11T00:00:00"/>
        <d v="2024-01-24T00:00:00"/>
        <d v="2024-03-26T00:00:00"/>
        <d v="2024-03-09T00:00:00"/>
        <d v="2024-03-16T00:00:00"/>
        <d v="2024-02-10T00:00:00"/>
        <d v="2024-01-13T00:00:00"/>
        <d v="2024-04-13T00:00:00"/>
        <d v="2024-04-18T00:00:00"/>
        <d v="2024-01-22T00:00:00"/>
        <d v="2024-04-21T00:00:00"/>
        <d v="2024-03-05T00:00:00"/>
        <d v="2024-04-29T00:00:00"/>
        <d v="2024-03-01T00:00:00"/>
        <d v="2024-01-31T00:00:00"/>
        <d v="2024-03-18T00:00:00"/>
        <d v="2024-02-20T00:00:00"/>
        <d v="2024-02-19T00:00:00"/>
        <d v="2024-04-17T00:00:00"/>
        <d v="2024-01-03T00:00:00"/>
        <d v="2024-04-01T00:00:00"/>
        <d v="2024-02-14T00:00:00"/>
        <d v="2024-02-16T00:00:00"/>
        <d v="2024-04-28T00:00:00"/>
        <d v="2024-01-21T00:00:00"/>
        <d v="2024-02-27T00:00:00"/>
        <d v="2024-03-21T00:00:00"/>
        <d v="2024-04-25T00:00:00"/>
        <d v="2024-04-14T00:00:00"/>
        <d v="2024-03-13T00:00:00"/>
        <d v="2024-04-20T00:00:00"/>
        <d v="2024-04-16T00:00:00"/>
        <d v="2024-02-13T00:00:00"/>
        <d v="2024-04-07T00:00:00"/>
        <d v="2024-01-12T00:00:00"/>
        <d v="2024-01-06T00:00:00"/>
        <d v="2024-04-02T00:00:00"/>
        <d v="2024-03-20T00:00:00"/>
        <d v="2024-03-19T00:00:00"/>
        <d v="2024-01-02T00:00:00"/>
        <d v="2024-03-06T00:00:00"/>
        <d v="2024-03-28T00:00:00"/>
        <d v="2024-02-17T00:00:00"/>
        <d v="2024-02-26T00:00:00"/>
        <d v="2024-01-19T00:00:00"/>
        <d v="2024-03-03T00:00:00"/>
        <d v="2024-04-04T00:00:00"/>
        <d v="2024-01-09T00:00:00"/>
        <d v="2024-01-28T00:00:00"/>
        <d v="2024-02-07T00:00:00"/>
        <d v="2024-03-22T00:00:00"/>
        <d v="2024-01-16T00:00:00"/>
        <d v="2024-01-17T00:00:00"/>
        <d v="2024-02-02T00:00:00"/>
        <d v="2024-04-05T00:00:00"/>
        <d v="2024-02-15T00:00:00"/>
        <d v="2024-02-24T00:00:00"/>
        <d v="2024-03-30T00:00:00"/>
        <d v="2024-01-08T00:00:00"/>
        <d v="2024-02-09T00:00:00"/>
        <d v="2024-03-23T00:00:00"/>
        <d v="2024-04-23T00:00:00"/>
        <d v="2024-04-08T00:00:00"/>
        <d v="2024-03-14T00:00:00"/>
        <d v="2024-03-11T00:00:00"/>
        <d v="2024-04-19T00:00:00"/>
        <d v="2024-02-03T00:00:00"/>
        <d v="2024-03-29T00:00:00"/>
        <d v="2024-03-15T00:00:00"/>
        <d v="2024-04-03T00:00:00"/>
        <d v="2024-01-29T00:00:00"/>
        <d v="2024-02-25T00:00:00"/>
        <d v="2024-01-11T00:00:00"/>
        <d v="2024-02-01T00:00:00"/>
        <d v="2024-03-27T00:00:00"/>
        <d v="2024-04-30T00:00:00"/>
        <d v="2024-04-22T00:00:00"/>
        <d v="2024-01-20T00:00:00"/>
        <d v="2024-01-26T00:00:00"/>
        <d v="2024-01-23T00:00:00"/>
        <d v="2024-02-21T00:00:00"/>
        <d v="2024-03-17T00:00:00"/>
        <d v="2024-03-07T00:00:00"/>
        <d v="2024-04-24T00:00:00"/>
        <d v="2024-04-10T00:00:00"/>
        <d v="2024-02-05T00:00:00"/>
        <d v="2024-02-08T00:00:00"/>
        <d v="2024-03-12T00:00:00"/>
        <d v="2024-03-24T00:00:00"/>
        <d v="2024-03-10T00:00:00"/>
        <d v="2024-03-02T00:00:00"/>
        <d v="2024-02-18T00:00:00"/>
        <d v="2024-02-12T00:00:00"/>
        <d v="2024-01-10T00:00:00"/>
        <d v="2024-01-27T00:00:00"/>
      </sharedItems>
      <fieldGroup par="9"/>
    </cacheField>
    <cacheField name="City" numFmtId="0">
      <sharedItems/>
    </cacheField>
    <cacheField name="Total sales" numFmtId="0">
      <sharedItems containsSemiMixedTypes="0" containsString="0" containsNumber="1" containsInteger="1" minValue="2739" maxValue="249820"/>
    </cacheField>
    <cacheField name="Days (Date)" numFmtId="0" databaseField="0">
      <fieldGroup base="5">
        <rangePr groupBy="days" startDate="2024-01-02T00:00:00" endDate="2024-05-01T00:00:00"/>
        <groupItems count="368">
          <s v="&lt;02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5-2024"/>
        </groupItems>
      </fieldGroup>
    </cacheField>
    <cacheField name="Months (Date)" numFmtId="0" databaseField="0">
      <fieldGroup base="5">
        <rangePr groupBy="months" startDate="2024-01-02T00:00:00" endDate="2024-05-01T00:00:00"/>
        <groupItems count="14">
          <s v="&lt;02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5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"/>
    <s v="Laptop"/>
    <x v="0"/>
    <x v="0"/>
    <n v="5"/>
    <x v="0"/>
    <x v="0"/>
    <n v="54285"/>
  </r>
  <r>
    <n v="2"/>
    <s v="Laptop"/>
    <x v="1"/>
    <x v="1"/>
    <n v="3"/>
    <x v="1"/>
    <x v="1"/>
    <n v="116610"/>
  </r>
  <r>
    <n v="3"/>
    <s v="Shoes"/>
    <x v="1"/>
    <x v="2"/>
    <n v="1"/>
    <x v="2"/>
    <x v="1"/>
    <n v="29177"/>
  </r>
  <r>
    <n v="4"/>
    <s v="T-shirt"/>
    <x v="0"/>
    <x v="3"/>
    <n v="3"/>
    <x v="3"/>
    <x v="2"/>
    <n v="33303"/>
  </r>
  <r>
    <n v="5"/>
    <s v="Headphones"/>
    <x v="1"/>
    <x v="4"/>
    <n v="1"/>
    <x v="4"/>
    <x v="0"/>
    <n v="36982"/>
  </r>
  <r>
    <n v="6"/>
    <s v="Watch"/>
    <x v="2"/>
    <x v="5"/>
    <n v="2"/>
    <x v="5"/>
    <x v="3"/>
    <n v="83392"/>
  </r>
  <r>
    <n v="7"/>
    <s v="Headphones"/>
    <x v="0"/>
    <x v="6"/>
    <n v="5"/>
    <x v="6"/>
    <x v="3"/>
    <n v="112680"/>
  </r>
  <r>
    <n v="8"/>
    <s v="Bag"/>
    <x v="1"/>
    <x v="7"/>
    <n v="5"/>
    <x v="7"/>
    <x v="4"/>
    <n v="92355"/>
  </r>
  <r>
    <n v="9"/>
    <s v="Watch"/>
    <x v="2"/>
    <x v="8"/>
    <n v="2"/>
    <x v="8"/>
    <x v="0"/>
    <n v="64892"/>
  </r>
  <r>
    <n v="10"/>
    <s v="Laptop"/>
    <x v="2"/>
    <x v="9"/>
    <n v="3"/>
    <x v="9"/>
    <x v="2"/>
    <n v="58413"/>
  </r>
  <r>
    <n v="11"/>
    <s v="Bag"/>
    <x v="2"/>
    <x v="10"/>
    <n v="3"/>
    <x v="10"/>
    <x v="2"/>
    <n v="120321"/>
  </r>
  <r>
    <n v="12"/>
    <s v="Laptop"/>
    <x v="2"/>
    <x v="11"/>
    <n v="2"/>
    <x v="3"/>
    <x v="4"/>
    <n v="56634"/>
  </r>
  <r>
    <n v="13"/>
    <s v="Shoes"/>
    <x v="2"/>
    <x v="12"/>
    <n v="3"/>
    <x v="11"/>
    <x v="4"/>
    <n v="84387"/>
  </r>
  <r>
    <n v="14"/>
    <s v="Bag"/>
    <x v="0"/>
    <x v="13"/>
    <n v="4"/>
    <x v="12"/>
    <x v="3"/>
    <n v="133928"/>
  </r>
  <r>
    <n v="15"/>
    <s v="Headphones"/>
    <x v="1"/>
    <x v="14"/>
    <n v="2"/>
    <x v="13"/>
    <x v="1"/>
    <n v="56404"/>
  </r>
  <r>
    <n v="16"/>
    <s v="Laptop"/>
    <x v="2"/>
    <x v="15"/>
    <n v="1"/>
    <x v="14"/>
    <x v="1"/>
    <n v="19319"/>
  </r>
  <r>
    <n v="17"/>
    <s v="Headphones"/>
    <x v="0"/>
    <x v="16"/>
    <n v="1"/>
    <x v="15"/>
    <x v="1"/>
    <n v="6609"/>
  </r>
  <r>
    <n v="18"/>
    <s v="Headphones"/>
    <x v="0"/>
    <x v="17"/>
    <n v="2"/>
    <x v="16"/>
    <x v="1"/>
    <n v="31188"/>
  </r>
  <r>
    <n v="19"/>
    <s v="Headphones"/>
    <x v="2"/>
    <x v="18"/>
    <n v="4"/>
    <x v="17"/>
    <x v="0"/>
    <n v="117140"/>
  </r>
  <r>
    <n v="20"/>
    <s v="Watch"/>
    <x v="0"/>
    <x v="19"/>
    <n v="1"/>
    <x v="18"/>
    <x v="0"/>
    <n v="46883"/>
  </r>
  <r>
    <n v="21"/>
    <s v="Watch"/>
    <x v="2"/>
    <x v="20"/>
    <n v="4"/>
    <x v="19"/>
    <x v="2"/>
    <n v="19292"/>
  </r>
  <r>
    <n v="22"/>
    <s v="Bag"/>
    <x v="2"/>
    <x v="21"/>
    <n v="2"/>
    <x v="20"/>
    <x v="0"/>
    <n v="36114"/>
  </r>
  <r>
    <n v="23"/>
    <s v="Headphones"/>
    <x v="0"/>
    <x v="22"/>
    <n v="2"/>
    <x v="21"/>
    <x v="4"/>
    <n v="25256"/>
  </r>
  <r>
    <n v="24"/>
    <s v="T-shirt"/>
    <x v="0"/>
    <x v="23"/>
    <n v="4"/>
    <x v="15"/>
    <x v="4"/>
    <n v="87048"/>
  </r>
  <r>
    <n v="25"/>
    <s v="Shoes"/>
    <x v="0"/>
    <x v="24"/>
    <n v="3"/>
    <x v="22"/>
    <x v="2"/>
    <n v="47589"/>
  </r>
  <r>
    <n v="26"/>
    <s v="Watch"/>
    <x v="0"/>
    <x v="25"/>
    <n v="4"/>
    <x v="23"/>
    <x v="2"/>
    <n v="47548"/>
  </r>
  <r>
    <n v="27"/>
    <s v="T-shirt"/>
    <x v="0"/>
    <x v="26"/>
    <n v="1"/>
    <x v="24"/>
    <x v="0"/>
    <n v="48585"/>
  </r>
  <r>
    <n v="28"/>
    <s v="Headphones"/>
    <x v="2"/>
    <x v="27"/>
    <n v="3"/>
    <x v="25"/>
    <x v="4"/>
    <n v="21072"/>
  </r>
  <r>
    <n v="29"/>
    <s v="Laptop"/>
    <x v="0"/>
    <x v="28"/>
    <n v="5"/>
    <x v="26"/>
    <x v="1"/>
    <n v="173680"/>
  </r>
  <r>
    <n v="30"/>
    <s v="T-shirt"/>
    <x v="0"/>
    <x v="29"/>
    <n v="3"/>
    <x v="27"/>
    <x v="3"/>
    <n v="46452"/>
  </r>
  <r>
    <n v="31"/>
    <s v="Laptop"/>
    <x v="1"/>
    <x v="30"/>
    <n v="2"/>
    <x v="28"/>
    <x v="1"/>
    <n v="55256"/>
  </r>
  <r>
    <n v="32"/>
    <s v="T-shirt"/>
    <x v="1"/>
    <x v="31"/>
    <n v="5"/>
    <x v="29"/>
    <x v="3"/>
    <n v="54755"/>
  </r>
  <r>
    <n v="33"/>
    <s v="Headphones"/>
    <x v="2"/>
    <x v="32"/>
    <n v="3"/>
    <x v="30"/>
    <x v="2"/>
    <n v="31320"/>
  </r>
  <r>
    <n v="34"/>
    <s v="Bag"/>
    <x v="2"/>
    <x v="33"/>
    <n v="4"/>
    <x v="31"/>
    <x v="3"/>
    <n v="147280"/>
  </r>
  <r>
    <n v="35"/>
    <s v="Watch"/>
    <x v="1"/>
    <x v="34"/>
    <n v="1"/>
    <x v="32"/>
    <x v="1"/>
    <n v="12038"/>
  </r>
  <r>
    <n v="36"/>
    <s v="Shoes"/>
    <x v="1"/>
    <x v="35"/>
    <n v="2"/>
    <x v="33"/>
    <x v="1"/>
    <n v="44052"/>
  </r>
  <r>
    <n v="37"/>
    <s v="T-shirt"/>
    <x v="0"/>
    <x v="36"/>
    <n v="2"/>
    <x v="34"/>
    <x v="0"/>
    <n v="60238"/>
  </r>
  <r>
    <n v="38"/>
    <s v="Headphones"/>
    <x v="1"/>
    <x v="37"/>
    <n v="4"/>
    <x v="30"/>
    <x v="1"/>
    <n v="166936"/>
  </r>
  <r>
    <n v="39"/>
    <s v="Bag"/>
    <x v="1"/>
    <x v="38"/>
    <n v="5"/>
    <x v="8"/>
    <x v="0"/>
    <n v="4350"/>
  </r>
  <r>
    <n v="40"/>
    <s v="Bag"/>
    <x v="1"/>
    <x v="39"/>
    <n v="1"/>
    <x v="35"/>
    <x v="1"/>
    <n v="47661"/>
  </r>
  <r>
    <n v="41"/>
    <s v="Watch"/>
    <x v="0"/>
    <x v="40"/>
    <n v="1"/>
    <x v="36"/>
    <x v="1"/>
    <n v="32565"/>
  </r>
  <r>
    <n v="42"/>
    <s v="Watch"/>
    <x v="0"/>
    <x v="41"/>
    <n v="5"/>
    <x v="37"/>
    <x v="2"/>
    <n v="110820"/>
  </r>
  <r>
    <n v="43"/>
    <s v="Shoes"/>
    <x v="0"/>
    <x v="42"/>
    <n v="5"/>
    <x v="38"/>
    <x v="0"/>
    <n v="111005"/>
  </r>
  <r>
    <n v="44"/>
    <s v="Headphones"/>
    <x v="2"/>
    <x v="43"/>
    <n v="3"/>
    <x v="39"/>
    <x v="2"/>
    <n v="72780"/>
  </r>
  <r>
    <n v="45"/>
    <s v="T-shirt"/>
    <x v="0"/>
    <x v="44"/>
    <n v="2"/>
    <x v="40"/>
    <x v="1"/>
    <n v="49220"/>
  </r>
  <r>
    <n v="46"/>
    <s v="Headphones"/>
    <x v="2"/>
    <x v="45"/>
    <n v="3"/>
    <x v="41"/>
    <x v="2"/>
    <n v="108801"/>
  </r>
  <r>
    <n v="47"/>
    <s v="Watch"/>
    <x v="1"/>
    <x v="46"/>
    <n v="3"/>
    <x v="42"/>
    <x v="2"/>
    <n v="73209"/>
  </r>
  <r>
    <n v="48"/>
    <s v="Watch"/>
    <x v="1"/>
    <x v="47"/>
    <n v="2"/>
    <x v="43"/>
    <x v="3"/>
    <n v="13744"/>
  </r>
  <r>
    <n v="49"/>
    <s v="Bag"/>
    <x v="0"/>
    <x v="48"/>
    <n v="1"/>
    <x v="44"/>
    <x v="3"/>
    <n v="5024"/>
  </r>
  <r>
    <n v="50"/>
    <s v="Laptop"/>
    <x v="0"/>
    <x v="49"/>
    <n v="2"/>
    <x v="45"/>
    <x v="2"/>
    <n v="79602"/>
  </r>
  <r>
    <n v="51"/>
    <s v="Bag"/>
    <x v="1"/>
    <x v="50"/>
    <n v="4"/>
    <x v="36"/>
    <x v="2"/>
    <n v="12860"/>
  </r>
  <r>
    <n v="52"/>
    <s v="Headphones"/>
    <x v="1"/>
    <x v="51"/>
    <n v="1"/>
    <x v="46"/>
    <x v="4"/>
    <n v="38342"/>
  </r>
  <r>
    <n v="53"/>
    <s v="T-shirt"/>
    <x v="1"/>
    <x v="52"/>
    <n v="3"/>
    <x v="31"/>
    <x v="4"/>
    <n v="139998"/>
  </r>
  <r>
    <n v="54"/>
    <s v="Laptop"/>
    <x v="2"/>
    <x v="53"/>
    <n v="1"/>
    <x v="47"/>
    <x v="4"/>
    <n v="42281"/>
  </r>
  <r>
    <n v="55"/>
    <s v="Laptop"/>
    <x v="2"/>
    <x v="54"/>
    <n v="5"/>
    <x v="48"/>
    <x v="2"/>
    <n v="51915"/>
  </r>
  <r>
    <n v="56"/>
    <s v="Watch"/>
    <x v="0"/>
    <x v="55"/>
    <n v="1"/>
    <x v="49"/>
    <x v="2"/>
    <n v="16221"/>
  </r>
  <r>
    <n v="57"/>
    <s v="T-shirt"/>
    <x v="1"/>
    <x v="56"/>
    <n v="4"/>
    <x v="17"/>
    <x v="0"/>
    <n v="100780"/>
  </r>
  <r>
    <n v="58"/>
    <s v="Shoes"/>
    <x v="2"/>
    <x v="57"/>
    <n v="5"/>
    <x v="50"/>
    <x v="4"/>
    <n v="83730"/>
  </r>
  <r>
    <n v="59"/>
    <s v="Watch"/>
    <x v="1"/>
    <x v="58"/>
    <n v="3"/>
    <x v="51"/>
    <x v="0"/>
    <n v="114900"/>
  </r>
  <r>
    <n v="60"/>
    <s v="Watch"/>
    <x v="0"/>
    <x v="59"/>
    <n v="4"/>
    <x v="3"/>
    <x v="2"/>
    <n v="76956"/>
  </r>
  <r>
    <n v="61"/>
    <s v="Laptop"/>
    <x v="1"/>
    <x v="60"/>
    <n v="2"/>
    <x v="40"/>
    <x v="1"/>
    <n v="99578"/>
  </r>
  <r>
    <n v="62"/>
    <s v="Watch"/>
    <x v="0"/>
    <x v="61"/>
    <n v="1"/>
    <x v="26"/>
    <x v="2"/>
    <n v="17309"/>
  </r>
  <r>
    <n v="63"/>
    <s v="Bag"/>
    <x v="2"/>
    <x v="62"/>
    <n v="3"/>
    <x v="52"/>
    <x v="1"/>
    <n v="100428"/>
  </r>
  <r>
    <n v="64"/>
    <s v="Laptop"/>
    <x v="0"/>
    <x v="63"/>
    <n v="3"/>
    <x v="53"/>
    <x v="2"/>
    <n v="37728"/>
  </r>
  <r>
    <n v="65"/>
    <s v="T-shirt"/>
    <x v="2"/>
    <x v="64"/>
    <n v="4"/>
    <x v="0"/>
    <x v="4"/>
    <n v="90080"/>
  </r>
  <r>
    <n v="66"/>
    <s v="Headphones"/>
    <x v="0"/>
    <x v="65"/>
    <n v="2"/>
    <x v="51"/>
    <x v="3"/>
    <n v="40538"/>
  </r>
  <r>
    <n v="67"/>
    <s v="Watch"/>
    <x v="1"/>
    <x v="66"/>
    <n v="5"/>
    <x v="12"/>
    <x v="1"/>
    <n v="51885"/>
  </r>
  <r>
    <n v="68"/>
    <s v="Shoes"/>
    <x v="0"/>
    <x v="67"/>
    <n v="3"/>
    <x v="48"/>
    <x v="4"/>
    <n v="112473"/>
  </r>
  <r>
    <n v="69"/>
    <s v="Shoes"/>
    <x v="2"/>
    <x v="68"/>
    <n v="3"/>
    <x v="22"/>
    <x v="4"/>
    <n v="114726"/>
  </r>
  <r>
    <n v="70"/>
    <s v="Laptop"/>
    <x v="1"/>
    <x v="69"/>
    <n v="1"/>
    <x v="54"/>
    <x v="4"/>
    <n v="15270"/>
  </r>
  <r>
    <n v="71"/>
    <s v="Bag"/>
    <x v="1"/>
    <x v="70"/>
    <n v="1"/>
    <x v="55"/>
    <x v="0"/>
    <n v="46045"/>
  </r>
  <r>
    <n v="72"/>
    <s v="Bag"/>
    <x v="2"/>
    <x v="71"/>
    <n v="3"/>
    <x v="21"/>
    <x v="2"/>
    <n v="50409"/>
  </r>
  <r>
    <n v="73"/>
    <s v="Shoes"/>
    <x v="2"/>
    <x v="72"/>
    <n v="5"/>
    <x v="24"/>
    <x v="4"/>
    <n v="36895"/>
  </r>
  <r>
    <n v="74"/>
    <s v="Headphones"/>
    <x v="0"/>
    <x v="73"/>
    <n v="1"/>
    <x v="56"/>
    <x v="3"/>
    <n v="21238"/>
  </r>
  <r>
    <n v="75"/>
    <s v="T-shirt"/>
    <x v="1"/>
    <x v="74"/>
    <n v="2"/>
    <x v="57"/>
    <x v="4"/>
    <n v="73930"/>
  </r>
  <r>
    <n v="76"/>
    <s v="Headphones"/>
    <x v="0"/>
    <x v="75"/>
    <n v="3"/>
    <x v="52"/>
    <x v="3"/>
    <n v="2739"/>
  </r>
  <r>
    <n v="77"/>
    <s v="T-shirt"/>
    <x v="0"/>
    <x v="76"/>
    <n v="2"/>
    <x v="58"/>
    <x v="2"/>
    <n v="16690"/>
  </r>
  <r>
    <n v="78"/>
    <s v="T-shirt"/>
    <x v="1"/>
    <x v="77"/>
    <n v="4"/>
    <x v="59"/>
    <x v="2"/>
    <n v="197544"/>
  </r>
  <r>
    <n v="79"/>
    <s v="Headphones"/>
    <x v="2"/>
    <x v="78"/>
    <n v="2"/>
    <x v="43"/>
    <x v="0"/>
    <n v="41288"/>
  </r>
  <r>
    <n v="80"/>
    <s v="Bag"/>
    <x v="2"/>
    <x v="79"/>
    <n v="5"/>
    <x v="60"/>
    <x v="0"/>
    <n v="173670"/>
  </r>
  <r>
    <n v="81"/>
    <s v="Shoes"/>
    <x v="0"/>
    <x v="80"/>
    <n v="2"/>
    <x v="61"/>
    <x v="4"/>
    <n v="67382"/>
  </r>
  <r>
    <n v="82"/>
    <s v="Headphones"/>
    <x v="1"/>
    <x v="81"/>
    <n v="5"/>
    <x v="38"/>
    <x v="4"/>
    <n v="13295"/>
  </r>
  <r>
    <n v="83"/>
    <s v="Headphones"/>
    <x v="0"/>
    <x v="82"/>
    <n v="5"/>
    <x v="26"/>
    <x v="2"/>
    <n v="40610"/>
  </r>
  <r>
    <n v="84"/>
    <s v="Headphones"/>
    <x v="0"/>
    <x v="83"/>
    <n v="3"/>
    <x v="62"/>
    <x v="0"/>
    <n v="109968"/>
  </r>
  <r>
    <n v="85"/>
    <s v="Shoes"/>
    <x v="0"/>
    <x v="84"/>
    <n v="1"/>
    <x v="63"/>
    <x v="4"/>
    <n v="5107"/>
  </r>
  <r>
    <n v="86"/>
    <s v="Bag"/>
    <x v="0"/>
    <x v="85"/>
    <n v="5"/>
    <x v="64"/>
    <x v="4"/>
    <n v="236305"/>
  </r>
  <r>
    <n v="87"/>
    <s v="Bag"/>
    <x v="2"/>
    <x v="86"/>
    <n v="3"/>
    <x v="38"/>
    <x v="0"/>
    <n v="100425"/>
  </r>
  <r>
    <n v="88"/>
    <s v="Shoes"/>
    <x v="1"/>
    <x v="87"/>
    <n v="5"/>
    <x v="65"/>
    <x v="4"/>
    <n v="201425"/>
  </r>
  <r>
    <n v="89"/>
    <s v="Headphones"/>
    <x v="0"/>
    <x v="88"/>
    <n v="3"/>
    <x v="66"/>
    <x v="2"/>
    <n v="82068"/>
  </r>
  <r>
    <n v="90"/>
    <s v="Watch"/>
    <x v="0"/>
    <x v="89"/>
    <n v="1"/>
    <x v="67"/>
    <x v="1"/>
    <n v="30236"/>
  </r>
  <r>
    <n v="91"/>
    <s v="Watch"/>
    <x v="0"/>
    <x v="90"/>
    <n v="3"/>
    <x v="36"/>
    <x v="3"/>
    <n v="10569"/>
  </r>
  <r>
    <n v="92"/>
    <s v="T-shirt"/>
    <x v="1"/>
    <x v="91"/>
    <n v="2"/>
    <x v="65"/>
    <x v="4"/>
    <n v="68182"/>
  </r>
  <r>
    <n v="93"/>
    <s v="Shoes"/>
    <x v="2"/>
    <x v="92"/>
    <n v="1"/>
    <x v="23"/>
    <x v="3"/>
    <n v="12946"/>
  </r>
  <r>
    <n v="94"/>
    <s v="Watch"/>
    <x v="1"/>
    <x v="93"/>
    <n v="1"/>
    <x v="54"/>
    <x v="1"/>
    <n v="42625"/>
  </r>
  <r>
    <n v="95"/>
    <s v="Bag"/>
    <x v="2"/>
    <x v="94"/>
    <n v="4"/>
    <x v="68"/>
    <x v="3"/>
    <n v="62660"/>
  </r>
  <r>
    <n v="96"/>
    <s v="Watch"/>
    <x v="1"/>
    <x v="95"/>
    <n v="4"/>
    <x v="35"/>
    <x v="0"/>
    <n v="147008"/>
  </r>
  <r>
    <n v="97"/>
    <s v="Headphones"/>
    <x v="2"/>
    <x v="96"/>
    <n v="5"/>
    <x v="69"/>
    <x v="2"/>
    <n v="119010"/>
  </r>
  <r>
    <n v="98"/>
    <s v="Laptop"/>
    <x v="1"/>
    <x v="97"/>
    <n v="2"/>
    <x v="70"/>
    <x v="1"/>
    <n v="54820"/>
  </r>
  <r>
    <n v="99"/>
    <s v="Shoes"/>
    <x v="1"/>
    <x v="98"/>
    <n v="4"/>
    <x v="25"/>
    <x v="3"/>
    <n v="172176"/>
  </r>
  <r>
    <n v="100"/>
    <s v="Shoes"/>
    <x v="2"/>
    <x v="99"/>
    <n v="2"/>
    <x v="71"/>
    <x v="0"/>
    <n v="32416"/>
  </r>
  <r>
    <n v="101"/>
    <s v="Shoes"/>
    <x v="2"/>
    <x v="100"/>
    <n v="2"/>
    <x v="72"/>
    <x v="1"/>
    <n v="60380"/>
  </r>
  <r>
    <n v="102"/>
    <s v="Shoes"/>
    <x v="1"/>
    <x v="101"/>
    <n v="1"/>
    <x v="48"/>
    <x v="1"/>
    <n v="30020"/>
  </r>
  <r>
    <n v="103"/>
    <s v="Headphones"/>
    <x v="1"/>
    <x v="102"/>
    <n v="5"/>
    <x v="70"/>
    <x v="2"/>
    <n v="89555"/>
  </r>
  <r>
    <n v="104"/>
    <s v="Watch"/>
    <x v="0"/>
    <x v="103"/>
    <n v="4"/>
    <x v="57"/>
    <x v="4"/>
    <n v="109368"/>
  </r>
  <r>
    <n v="105"/>
    <s v="Headphones"/>
    <x v="0"/>
    <x v="104"/>
    <n v="5"/>
    <x v="73"/>
    <x v="0"/>
    <n v="48070"/>
  </r>
  <r>
    <n v="106"/>
    <s v="T-shirt"/>
    <x v="0"/>
    <x v="105"/>
    <n v="1"/>
    <x v="20"/>
    <x v="3"/>
    <n v="19165"/>
  </r>
  <r>
    <n v="107"/>
    <s v="Watch"/>
    <x v="2"/>
    <x v="106"/>
    <n v="3"/>
    <x v="74"/>
    <x v="2"/>
    <n v="57279"/>
  </r>
  <r>
    <n v="108"/>
    <s v="Watch"/>
    <x v="2"/>
    <x v="107"/>
    <n v="4"/>
    <x v="7"/>
    <x v="3"/>
    <n v="96636"/>
  </r>
  <r>
    <n v="109"/>
    <s v="Headphones"/>
    <x v="0"/>
    <x v="108"/>
    <n v="1"/>
    <x v="35"/>
    <x v="4"/>
    <n v="18873"/>
  </r>
  <r>
    <n v="110"/>
    <s v="Bag"/>
    <x v="2"/>
    <x v="109"/>
    <n v="3"/>
    <x v="75"/>
    <x v="0"/>
    <n v="47130"/>
  </r>
  <r>
    <n v="111"/>
    <s v="Shoes"/>
    <x v="1"/>
    <x v="110"/>
    <n v="4"/>
    <x v="60"/>
    <x v="1"/>
    <n v="196464"/>
  </r>
  <r>
    <n v="112"/>
    <s v="Bag"/>
    <x v="1"/>
    <x v="111"/>
    <n v="4"/>
    <x v="19"/>
    <x v="2"/>
    <n v="79772"/>
  </r>
  <r>
    <n v="113"/>
    <s v="Headphones"/>
    <x v="1"/>
    <x v="112"/>
    <n v="2"/>
    <x v="26"/>
    <x v="4"/>
    <n v="18014"/>
  </r>
  <r>
    <n v="114"/>
    <s v="Laptop"/>
    <x v="0"/>
    <x v="113"/>
    <n v="5"/>
    <x v="46"/>
    <x v="2"/>
    <n v="191810"/>
  </r>
  <r>
    <n v="115"/>
    <s v="Laptop"/>
    <x v="1"/>
    <x v="114"/>
    <n v="1"/>
    <x v="17"/>
    <x v="1"/>
    <n v="15335"/>
  </r>
  <r>
    <n v="116"/>
    <s v="T-shirt"/>
    <x v="0"/>
    <x v="115"/>
    <n v="2"/>
    <x v="3"/>
    <x v="4"/>
    <n v="84696"/>
  </r>
  <r>
    <n v="117"/>
    <s v="Bag"/>
    <x v="1"/>
    <x v="116"/>
    <n v="1"/>
    <x v="3"/>
    <x v="4"/>
    <n v="42196"/>
  </r>
  <r>
    <n v="118"/>
    <s v="Headphones"/>
    <x v="2"/>
    <x v="117"/>
    <n v="4"/>
    <x v="70"/>
    <x v="3"/>
    <n v="13448"/>
  </r>
  <r>
    <n v="119"/>
    <s v="Bag"/>
    <x v="1"/>
    <x v="118"/>
    <n v="5"/>
    <x v="76"/>
    <x v="2"/>
    <n v="67190"/>
  </r>
  <r>
    <n v="120"/>
    <s v="T-shirt"/>
    <x v="2"/>
    <x v="119"/>
    <n v="3"/>
    <x v="26"/>
    <x v="3"/>
    <n v="148989"/>
  </r>
  <r>
    <n v="121"/>
    <s v="Watch"/>
    <x v="1"/>
    <x v="120"/>
    <n v="2"/>
    <x v="77"/>
    <x v="3"/>
    <n v="28946"/>
  </r>
  <r>
    <n v="122"/>
    <s v="T-shirt"/>
    <x v="1"/>
    <x v="121"/>
    <n v="2"/>
    <x v="5"/>
    <x v="2"/>
    <n v="85310"/>
  </r>
  <r>
    <n v="123"/>
    <s v="Headphones"/>
    <x v="0"/>
    <x v="122"/>
    <n v="2"/>
    <x v="16"/>
    <x v="2"/>
    <n v="72836"/>
  </r>
  <r>
    <n v="124"/>
    <s v="T-shirt"/>
    <x v="1"/>
    <x v="123"/>
    <n v="5"/>
    <x v="78"/>
    <x v="2"/>
    <n v="22415"/>
  </r>
  <r>
    <n v="125"/>
    <s v="T-shirt"/>
    <x v="1"/>
    <x v="124"/>
    <n v="4"/>
    <x v="10"/>
    <x v="1"/>
    <n v="158804"/>
  </r>
  <r>
    <n v="126"/>
    <s v="Headphones"/>
    <x v="0"/>
    <x v="125"/>
    <n v="5"/>
    <x v="36"/>
    <x v="1"/>
    <n v="160245"/>
  </r>
  <r>
    <n v="127"/>
    <s v="Headphones"/>
    <x v="0"/>
    <x v="126"/>
    <n v="4"/>
    <x v="79"/>
    <x v="4"/>
    <n v="30180"/>
  </r>
  <r>
    <n v="128"/>
    <s v="T-shirt"/>
    <x v="0"/>
    <x v="127"/>
    <n v="4"/>
    <x v="32"/>
    <x v="0"/>
    <n v="170544"/>
  </r>
  <r>
    <n v="129"/>
    <s v="Bag"/>
    <x v="0"/>
    <x v="128"/>
    <n v="3"/>
    <x v="37"/>
    <x v="1"/>
    <n v="84843"/>
  </r>
  <r>
    <n v="130"/>
    <s v="Watch"/>
    <x v="1"/>
    <x v="129"/>
    <n v="2"/>
    <x v="12"/>
    <x v="3"/>
    <n v="47478"/>
  </r>
  <r>
    <n v="131"/>
    <s v="Watch"/>
    <x v="2"/>
    <x v="130"/>
    <n v="2"/>
    <x v="38"/>
    <x v="4"/>
    <n v="88478"/>
  </r>
  <r>
    <n v="132"/>
    <s v="Watch"/>
    <x v="0"/>
    <x v="131"/>
    <n v="5"/>
    <x v="4"/>
    <x v="1"/>
    <n v="58500"/>
  </r>
  <r>
    <n v="133"/>
    <s v="Watch"/>
    <x v="0"/>
    <x v="132"/>
    <n v="2"/>
    <x v="46"/>
    <x v="4"/>
    <n v="41000"/>
  </r>
  <r>
    <n v="134"/>
    <s v="Shoes"/>
    <x v="2"/>
    <x v="133"/>
    <n v="4"/>
    <x v="56"/>
    <x v="4"/>
    <n v="189880"/>
  </r>
  <r>
    <n v="135"/>
    <s v="Bag"/>
    <x v="1"/>
    <x v="134"/>
    <n v="4"/>
    <x v="80"/>
    <x v="4"/>
    <n v="187952"/>
  </r>
  <r>
    <n v="136"/>
    <s v="T-shirt"/>
    <x v="1"/>
    <x v="135"/>
    <n v="3"/>
    <x v="81"/>
    <x v="1"/>
    <n v="97701"/>
  </r>
  <r>
    <n v="137"/>
    <s v="Laptop"/>
    <x v="2"/>
    <x v="136"/>
    <n v="3"/>
    <x v="82"/>
    <x v="3"/>
    <n v="72048"/>
  </r>
  <r>
    <n v="138"/>
    <s v="Bag"/>
    <x v="1"/>
    <x v="137"/>
    <n v="5"/>
    <x v="83"/>
    <x v="2"/>
    <n v="249820"/>
  </r>
  <r>
    <n v="139"/>
    <s v="Headphones"/>
    <x v="0"/>
    <x v="138"/>
    <n v="4"/>
    <x v="33"/>
    <x v="0"/>
    <n v="6672"/>
  </r>
  <r>
    <n v="140"/>
    <s v="Shoes"/>
    <x v="1"/>
    <x v="139"/>
    <n v="5"/>
    <x v="57"/>
    <x v="3"/>
    <n v="247995"/>
  </r>
  <r>
    <n v="141"/>
    <s v="Laptop"/>
    <x v="1"/>
    <x v="140"/>
    <n v="2"/>
    <x v="84"/>
    <x v="3"/>
    <n v="75670"/>
  </r>
  <r>
    <n v="142"/>
    <s v="Headphones"/>
    <x v="0"/>
    <x v="141"/>
    <n v="1"/>
    <x v="42"/>
    <x v="1"/>
    <n v="21948"/>
  </r>
  <r>
    <n v="143"/>
    <s v="T-shirt"/>
    <x v="0"/>
    <x v="142"/>
    <n v="4"/>
    <x v="4"/>
    <x v="1"/>
    <n v="124636"/>
  </r>
  <r>
    <n v="144"/>
    <s v="Shoes"/>
    <x v="1"/>
    <x v="143"/>
    <n v="5"/>
    <x v="75"/>
    <x v="0"/>
    <n v="230765"/>
  </r>
  <r>
    <n v="145"/>
    <s v="Laptop"/>
    <x v="2"/>
    <x v="144"/>
    <n v="1"/>
    <x v="85"/>
    <x v="4"/>
    <n v="47296"/>
  </r>
  <r>
    <n v="146"/>
    <s v="Watch"/>
    <x v="2"/>
    <x v="145"/>
    <n v="2"/>
    <x v="86"/>
    <x v="1"/>
    <n v="75432"/>
  </r>
  <r>
    <n v="147"/>
    <s v="Bag"/>
    <x v="0"/>
    <x v="146"/>
    <n v="1"/>
    <x v="38"/>
    <x v="0"/>
    <n v="23417"/>
  </r>
  <r>
    <n v="148"/>
    <s v="Bag"/>
    <x v="0"/>
    <x v="147"/>
    <n v="4"/>
    <x v="61"/>
    <x v="0"/>
    <n v="47080"/>
  </r>
  <r>
    <n v="149"/>
    <s v="Laptop"/>
    <x v="0"/>
    <x v="148"/>
    <n v="3"/>
    <x v="48"/>
    <x v="4"/>
    <n v="87960"/>
  </r>
  <r>
    <n v="150"/>
    <s v="Laptop"/>
    <x v="0"/>
    <x v="149"/>
    <n v="2"/>
    <x v="15"/>
    <x v="2"/>
    <n v="56912"/>
  </r>
  <r>
    <n v="151"/>
    <s v="Bag"/>
    <x v="0"/>
    <x v="150"/>
    <n v="5"/>
    <x v="37"/>
    <x v="1"/>
    <n v="184775"/>
  </r>
  <r>
    <n v="152"/>
    <s v="Laptop"/>
    <x v="0"/>
    <x v="151"/>
    <n v="5"/>
    <x v="11"/>
    <x v="4"/>
    <n v="200100"/>
  </r>
  <r>
    <n v="153"/>
    <s v="Laptop"/>
    <x v="2"/>
    <x v="152"/>
    <n v="4"/>
    <x v="87"/>
    <x v="0"/>
    <n v="199348"/>
  </r>
  <r>
    <n v="154"/>
    <s v="Watch"/>
    <x v="0"/>
    <x v="153"/>
    <n v="4"/>
    <x v="10"/>
    <x v="0"/>
    <n v="172632"/>
  </r>
  <r>
    <n v="155"/>
    <s v="T-shirt"/>
    <x v="2"/>
    <x v="154"/>
    <n v="5"/>
    <x v="58"/>
    <x v="3"/>
    <n v="93810"/>
  </r>
  <r>
    <n v="156"/>
    <s v="Bag"/>
    <x v="0"/>
    <x v="155"/>
    <n v="3"/>
    <x v="88"/>
    <x v="3"/>
    <n v="63447"/>
  </r>
  <r>
    <n v="157"/>
    <s v="Watch"/>
    <x v="1"/>
    <x v="156"/>
    <n v="4"/>
    <x v="6"/>
    <x v="0"/>
    <n v="152884"/>
  </r>
  <r>
    <n v="158"/>
    <s v="Headphones"/>
    <x v="0"/>
    <x v="157"/>
    <n v="3"/>
    <x v="22"/>
    <x v="4"/>
    <n v="135324"/>
  </r>
  <r>
    <n v="159"/>
    <s v="Laptop"/>
    <x v="1"/>
    <x v="158"/>
    <n v="1"/>
    <x v="18"/>
    <x v="3"/>
    <n v="20025"/>
  </r>
  <r>
    <n v="160"/>
    <s v="T-shirt"/>
    <x v="0"/>
    <x v="159"/>
    <n v="4"/>
    <x v="79"/>
    <x v="1"/>
    <n v="108236"/>
  </r>
  <r>
    <n v="161"/>
    <s v="Watch"/>
    <x v="0"/>
    <x v="160"/>
    <n v="5"/>
    <x v="31"/>
    <x v="0"/>
    <n v="190225"/>
  </r>
  <r>
    <n v="162"/>
    <s v="Headphones"/>
    <x v="1"/>
    <x v="161"/>
    <n v="1"/>
    <x v="28"/>
    <x v="2"/>
    <n v="27692"/>
  </r>
  <r>
    <n v="163"/>
    <s v="Bag"/>
    <x v="2"/>
    <x v="162"/>
    <n v="1"/>
    <x v="28"/>
    <x v="4"/>
    <n v="21441"/>
  </r>
  <r>
    <n v="164"/>
    <s v="T-shirt"/>
    <x v="0"/>
    <x v="163"/>
    <n v="3"/>
    <x v="73"/>
    <x v="0"/>
    <n v="23109"/>
  </r>
  <r>
    <n v="165"/>
    <s v="T-shirt"/>
    <x v="0"/>
    <x v="164"/>
    <n v="4"/>
    <x v="61"/>
    <x v="4"/>
    <n v="198244"/>
  </r>
  <r>
    <n v="166"/>
    <s v="Bag"/>
    <x v="1"/>
    <x v="165"/>
    <n v="2"/>
    <x v="85"/>
    <x v="4"/>
    <n v="12874"/>
  </r>
  <r>
    <n v="167"/>
    <s v="Shoes"/>
    <x v="2"/>
    <x v="166"/>
    <n v="1"/>
    <x v="13"/>
    <x v="2"/>
    <n v="41628"/>
  </r>
  <r>
    <n v="168"/>
    <s v="Headphones"/>
    <x v="0"/>
    <x v="167"/>
    <n v="2"/>
    <x v="89"/>
    <x v="3"/>
    <n v="98896"/>
  </r>
  <r>
    <n v="169"/>
    <s v="Headphones"/>
    <x v="1"/>
    <x v="168"/>
    <n v="3"/>
    <x v="70"/>
    <x v="4"/>
    <n v="87366"/>
  </r>
  <r>
    <n v="170"/>
    <s v="Headphones"/>
    <x v="1"/>
    <x v="169"/>
    <n v="5"/>
    <x v="15"/>
    <x v="1"/>
    <n v="12235"/>
  </r>
  <r>
    <n v="171"/>
    <s v="Laptop"/>
    <x v="1"/>
    <x v="170"/>
    <n v="1"/>
    <x v="73"/>
    <x v="1"/>
    <n v="19452"/>
  </r>
  <r>
    <n v="172"/>
    <s v="Bag"/>
    <x v="1"/>
    <x v="171"/>
    <n v="5"/>
    <x v="90"/>
    <x v="2"/>
    <n v="238655"/>
  </r>
  <r>
    <n v="173"/>
    <s v="T-shirt"/>
    <x v="1"/>
    <x v="172"/>
    <n v="5"/>
    <x v="91"/>
    <x v="4"/>
    <n v="5100"/>
  </r>
  <r>
    <n v="174"/>
    <s v="T-shirt"/>
    <x v="2"/>
    <x v="173"/>
    <n v="3"/>
    <x v="41"/>
    <x v="3"/>
    <n v="32256"/>
  </r>
  <r>
    <n v="175"/>
    <s v="Watch"/>
    <x v="2"/>
    <x v="174"/>
    <n v="3"/>
    <x v="10"/>
    <x v="0"/>
    <n v="5205"/>
  </r>
  <r>
    <n v="176"/>
    <s v="T-shirt"/>
    <x v="1"/>
    <x v="175"/>
    <n v="3"/>
    <x v="92"/>
    <x v="3"/>
    <n v="97842"/>
  </r>
  <r>
    <n v="177"/>
    <s v="T-shirt"/>
    <x v="1"/>
    <x v="176"/>
    <n v="1"/>
    <x v="93"/>
    <x v="3"/>
    <n v="49753"/>
  </r>
  <r>
    <n v="178"/>
    <s v="T-shirt"/>
    <x v="2"/>
    <x v="177"/>
    <n v="1"/>
    <x v="94"/>
    <x v="4"/>
    <n v="15219"/>
  </r>
  <r>
    <n v="179"/>
    <s v="T-shirt"/>
    <x v="1"/>
    <x v="178"/>
    <n v="4"/>
    <x v="95"/>
    <x v="0"/>
    <n v="153120"/>
  </r>
  <r>
    <n v="180"/>
    <s v="Bag"/>
    <x v="0"/>
    <x v="179"/>
    <n v="1"/>
    <x v="96"/>
    <x v="1"/>
    <n v="43681"/>
  </r>
  <r>
    <n v="181"/>
    <s v="Headphones"/>
    <x v="1"/>
    <x v="180"/>
    <n v="4"/>
    <x v="53"/>
    <x v="0"/>
    <n v="90136"/>
  </r>
  <r>
    <n v="182"/>
    <s v="Laptop"/>
    <x v="1"/>
    <x v="181"/>
    <n v="5"/>
    <x v="97"/>
    <x v="3"/>
    <n v="66710"/>
  </r>
  <r>
    <n v="183"/>
    <s v="Headphones"/>
    <x v="1"/>
    <x v="182"/>
    <n v="3"/>
    <x v="7"/>
    <x v="4"/>
    <n v="92400"/>
  </r>
  <r>
    <n v="184"/>
    <s v="Headphones"/>
    <x v="0"/>
    <x v="183"/>
    <n v="5"/>
    <x v="98"/>
    <x v="2"/>
    <n v="22305"/>
  </r>
  <r>
    <n v="185"/>
    <s v="Headphones"/>
    <x v="2"/>
    <x v="184"/>
    <n v="1"/>
    <x v="99"/>
    <x v="2"/>
    <n v="23115"/>
  </r>
  <r>
    <n v="186"/>
    <s v="Bag"/>
    <x v="1"/>
    <x v="185"/>
    <n v="4"/>
    <x v="10"/>
    <x v="1"/>
    <n v="48404"/>
  </r>
  <r>
    <n v="187"/>
    <s v="Watch"/>
    <x v="0"/>
    <x v="186"/>
    <n v="2"/>
    <x v="49"/>
    <x v="1"/>
    <n v="37920"/>
  </r>
  <r>
    <n v="188"/>
    <s v="T-shirt"/>
    <x v="0"/>
    <x v="187"/>
    <n v="5"/>
    <x v="98"/>
    <x v="4"/>
    <n v="235245"/>
  </r>
  <r>
    <n v="189"/>
    <s v="Headphones"/>
    <x v="0"/>
    <x v="188"/>
    <n v="4"/>
    <x v="98"/>
    <x v="0"/>
    <n v="68224"/>
  </r>
  <r>
    <n v="190"/>
    <s v="Headphones"/>
    <x v="2"/>
    <x v="189"/>
    <n v="4"/>
    <x v="92"/>
    <x v="4"/>
    <n v="118824"/>
  </r>
  <r>
    <n v="191"/>
    <s v="Laptop"/>
    <x v="1"/>
    <x v="190"/>
    <n v="2"/>
    <x v="37"/>
    <x v="2"/>
    <n v="14878"/>
  </r>
  <r>
    <n v="192"/>
    <s v="Laptop"/>
    <x v="0"/>
    <x v="191"/>
    <n v="5"/>
    <x v="91"/>
    <x v="4"/>
    <n v="132505"/>
  </r>
  <r>
    <n v="193"/>
    <s v="Shoes"/>
    <x v="0"/>
    <x v="192"/>
    <n v="4"/>
    <x v="41"/>
    <x v="3"/>
    <n v="103468"/>
  </r>
  <r>
    <n v="194"/>
    <s v="T-shirt"/>
    <x v="1"/>
    <x v="193"/>
    <n v="3"/>
    <x v="31"/>
    <x v="2"/>
    <n v="80490"/>
  </r>
  <r>
    <n v="195"/>
    <s v="Bag"/>
    <x v="2"/>
    <x v="194"/>
    <n v="3"/>
    <x v="100"/>
    <x v="2"/>
    <n v="16941"/>
  </r>
  <r>
    <n v="196"/>
    <s v="Shoes"/>
    <x v="2"/>
    <x v="195"/>
    <n v="1"/>
    <x v="32"/>
    <x v="4"/>
    <n v="36068"/>
  </r>
  <r>
    <n v="197"/>
    <s v="Laptop"/>
    <x v="1"/>
    <x v="196"/>
    <n v="5"/>
    <x v="14"/>
    <x v="0"/>
    <n v="90815"/>
  </r>
  <r>
    <n v="198"/>
    <s v="T-shirt"/>
    <x v="2"/>
    <x v="197"/>
    <n v="5"/>
    <x v="101"/>
    <x v="2"/>
    <n v="58515"/>
  </r>
  <r>
    <n v="199"/>
    <s v="T-shirt"/>
    <x v="1"/>
    <x v="198"/>
    <n v="5"/>
    <x v="102"/>
    <x v="4"/>
    <n v="161965"/>
  </r>
  <r>
    <n v="200"/>
    <s v="Shoes"/>
    <x v="2"/>
    <x v="199"/>
    <n v="5"/>
    <x v="97"/>
    <x v="2"/>
    <n v="142245"/>
  </r>
  <r>
    <n v="201"/>
    <s v="Laptop"/>
    <x v="0"/>
    <x v="200"/>
    <n v="2"/>
    <x v="40"/>
    <x v="4"/>
    <n v="45182"/>
  </r>
  <r>
    <n v="202"/>
    <s v="Laptop"/>
    <x v="1"/>
    <x v="201"/>
    <n v="1"/>
    <x v="23"/>
    <x v="2"/>
    <n v="33971"/>
  </r>
  <r>
    <n v="203"/>
    <s v="T-shirt"/>
    <x v="0"/>
    <x v="202"/>
    <n v="5"/>
    <x v="49"/>
    <x v="4"/>
    <n v="75865"/>
  </r>
  <r>
    <n v="204"/>
    <s v="Laptop"/>
    <x v="2"/>
    <x v="203"/>
    <n v="2"/>
    <x v="57"/>
    <x v="1"/>
    <n v="62016"/>
  </r>
  <r>
    <n v="205"/>
    <s v="Watch"/>
    <x v="2"/>
    <x v="204"/>
    <n v="3"/>
    <x v="87"/>
    <x v="1"/>
    <n v="26844"/>
  </r>
  <r>
    <n v="206"/>
    <s v="Laptop"/>
    <x v="1"/>
    <x v="205"/>
    <n v="1"/>
    <x v="63"/>
    <x v="2"/>
    <n v="37061"/>
  </r>
  <r>
    <n v="207"/>
    <s v="T-shirt"/>
    <x v="1"/>
    <x v="206"/>
    <n v="1"/>
    <x v="16"/>
    <x v="4"/>
    <n v="47931"/>
  </r>
  <r>
    <n v="208"/>
    <s v="Laptop"/>
    <x v="1"/>
    <x v="207"/>
    <n v="3"/>
    <x v="36"/>
    <x v="3"/>
    <n v="110898"/>
  </r>
  <r>
    <n v="209"/>
    <s v="Headphones"/>
    <x v="2"/>
    <x v="208"/>
    <n v="2"/>
    <x v="50"/>
    <x v="3"/>
    <n v="47772"/>
  </r>
  <r>
    <n v="210"/>
    <s v="Laptop"/>
    <x v="2"/>
    <x v="209"/>
    <n v="3"/>
    <x v="99"/>
    <x v="2"/>
    <n v="63624"/>
  </r>
  <r>
    <n v="211"/>
    <s v="Bag"/>
    <x v="1"/>
    <x v="210"/>
    <n v="5"/>
    <x v="5"/>
    <x v="3"/>
    <n v="247365"/>
  </r>
  <r>
    <n v="212"/>
    <s v="T-shirt"/>
    <x v="2"/>
    <x v="211"/>
    <n v="4"/>
    <x v="53"/>
    <x v="0"/>
    <n v="168468"/>
  </r>
  <r>
    <n v="213"/>
    <s v="Bag"/>
    <x v="0"/>
    <x v="212"/>
    <n v="2"/>
    <x v="103"/>
    <x v="0"/>
    <n v="59090"/>
  </r>
  <r>
    <n v="214"/>
    <s v="Headphones"/>
    <x v="2"/>
    <x v="213"/>
    <n v="3"/>
    <x v="42"/>
    <x v="1"/>
    <n v="16773"/>
  </r>
  <r>
    <n v="215"/>
    <s v="T-shirt"/>
    <x v="2"/>
    <x v="214"/>
    <n v="2"/>
    <x v="80"/>
    <x v="0"/>
    <n v="22144"/>
  </r>
  <r>
    <n v="216"/>
    <s v="Laptop"/>
    <x v="1"/>
    <x v="215"/>
    <n v="5"/>
    <x v="61"/>
    <x v="0"/>
    <n v="23305"/>
  </r>
  <r>
    <n v="217"/>
    <s v="Watch"/>
    <x v="2"/>
    <x v="216"/>
    <n v="5"/>
    <x v="47"/>
    <x v="4"/>
    <n v="8835"/>
  </r>
  <r>
    <n v="218"/>
    <s v="Laptop"/>
    <x v="0"/>
    <x v="217"/>
    <n v="4"/>
    <x v="1"/>
    <x v="3"/>
    <n v="14548"/>
  </r>
  <r>
    <n v="219"/>
    <s v="T-shirt"/>
    <x v="2"/>
    <x v="218"/>
    <n v="5"/>
    <x v="37"/>
    <x v="4"/>
    <n v="229370"/>
  </r>
  <r>
    <n v="220"/>
    <s v="Laptop"/>
    <x v="0"/>
    <x v="219"/>
    <n v="1"/>
    <x v="47"/>
    <x v="3"/>
    <n v="10309"/>
  </r>
  <r>
    <n v="221"/>
    <s v="Watch"/>
    <x v="2"/>
    <x v="220"/>
    <n v="2"/>
    <x v="28"/>
    <x v="2"/>
    <n v="80970"/>
  </r>
  <r>
    <n v="222"/>
    <s v="Shoes"/>
    <x v="2"/>
    <x v="221"/>
    <n v="4"/>
    <x v="43"/>
    <x v="2"/>
    <n v="97464"/>
  </r>
  <r>
    <n v="223"/>
    <s v="Laptop"/>
    <x v="0"/>
    <x v="222"/>
    <n v="4"/>
    <x v="33"/>
    <x v="4"/>
    <n v="118028"/>
  </r>
  <r>
    <n v="224"/>
    <s v="Bag"/>
    <x v="1"/>
    <x v="223"/>
    <n v="5"/>
    <x v="43"/>
    <x v="3"/>
    <n v="71450"/>
  </r>
  <r>
    <n v="225"/>
    <s v="T-shirt"/>
    <x v="2"/>
    <x v="224"/>
    <n v="3"/>
    <x v="45"/>
    <x v="0"/>
    <n v="43251"/>
  </r>
  <r>
    <n v="226"/>
    <s v="Headphones"/>
    <x v="0"/>
    <x v="225"/>
    <n v="1"/>
    <x v="13"/>
    <x v="3"/>
    <n v="23952"/>
  </r>
  <r>
    <n v="227"/>
    <s v="Bag"/>
    <x v="1"/>
    <x v="226"/>
    <n v="4"/>
    <x v="13"/>
    <x v="4"/>
    <n v="149612"/>
  </r>
  <r>
    <n v="228"/>
    <s v="Headphones"/>
    <x v="0"/>
    <x v="227"/>
    <n v="5"/>
    <x v="73"/>
    <x v="2"/>
    <n v="164670"/>
  </r>
  <r>
    <n v="229"/>
    <s v="Watch"/>
    <x v="1"/>
    <x v="228"/>
    <n v="1"/>
    <x v="69"/>
    <x v="0"/>
    <n v="29744"/>
  </r>
  <r>
    <n v="230"/>
    <s v="Watch"/>
    <x v="2"/>
    <x v="229"/>
    <n v="4"/>
    <x v="74"/>
    <x v="3"/>
    <n v="184652"/>
  </r>
  <r>
    <n v="231"/>
    <s v="Headphones"/>
    <x v="1"/>
    <x v="230"/>
    <n v="5"/>
    <x v="62"/>
    <x v="2"/>
    <n v="138620"/>
  </r>
  <r>
    <n v="232"/>
    <s v="T-shirt"/>
    <x v="0"/>
    <x v="231"/>
    <n v="1"/>
    <x v="36"/>
    <x v="1"/>
    <n v="17403"/>
  </r>
  <r>
    <n v="233"/>
    <s v="T-shirt"/>
    <x v="2"/>
    <x v="232"/>
    <n v="4"/>
    <x v="30"/>
    <x v="2"/>
    <n v="148968"/>
  </r>
  <r>
    <n v="234"/>
    <s v="Shoes"/>
    <x v="2"/>
    <x v="233"/>
    <n v="5"/>
    <x v="93"/>
    <x v="3"/>
    <n v="179250"/>
  </r>
  <r>
    <n v="235"/>
    <s v="Laptop"/>
    <x v="1"/>
    <x v="234"/>
    <n v="4"/>
    <x v="69"/>
    <x v="2"/>
    <n v="193124"/>
  </r>
  <r>
    <n v="236"/>
    <s v="Shoes"/>
    <x v="0"/>
    <x v="235"/>
    <n v="1"/>
    <x v="55"/>
    <x v="4"/>
    <n v="11994"/>
  </r>
  <r>
    <n v="237"/>
    <s v="T-shirt"/>
    <x v="0"/>
    <x v="236"/>
    <n v="1"/>
    <x v="35"/>
    <x v="0"/>
    <n v="3546"/>
  </r>
  <r>
    <n v="238"/>
    <s v="Shoes"/>
    <x v="2"/>
    <x v="237"/>
    <n v="1"/>
    <x v="102"/>
    <x v="1"/>
    <n v="16665"/>
  </r>
  <r>
    <n v="239"/>
    <s v="T-shirt"/>
    <x v="1"/>
    <x v="238"/>
    <n v="5"/>
    <x v="82"/>
    <x v="0"/>
    <n v="196990"/>
  </r>
  <r>
    <n v="240"/>
    <s v="T-shirt"/>
    <x v="0"/>
    <x v="239"/>
    <n v="4"/>
    <x v="104"/>
    <x v="3"/>
    <n v="195832"/>
  </r>
  <r>
    <n v="241"/>
    <s v="Headphones"/>
    <x v="0"/>
    <x v="240"/>
    <n v="5"/>
    <x v="69"/>
    <x v="2"/>
    <n v="174275"/>
  </r>
  <r>
    <n v="242"/>
    <s v="Headphones"/>
    <x v="2"/>
    <x v="241"/>
    <n v="5"/>
    <x v="86"/>
    <x v="0"/>
    <n v="219350"/>
  </r>
  <r>
    <n v="243"/>
    <s v="Shoes"/>
    <x v="0"/>
    <x v="242"/>
    <n v="2"/>
    <x v="8"/>
    <x v="1"/>
    <n v="7792"/>
  </r>
  <r>
    <n v="244"/>
    <s v="Headphones"/>
    <x v="0"/>
    <x v="243"/>
    <n v="1"/>
    <x v="63"/>
    <x v="3"/>
    <n v="20406"/>
  </r>
  <r>
    <n v="245"/>
    <s v="Laptop"/>
    <x v="0"/>
    <x v="244"/>
    <n v="1"/>
    <x v="24"/>
    <x v="1"/>
    <n v="44942"/>
  </r>
  <r>
    <n v="246"/>
    <s v="Bag"/>
    <x v="0"/>
    <x v="245"/>
    <n v="3"/>
    <x v="43"/>
    <x v="0"/>
    <n v="49299"/>
  </r>
  <r>
    <n v="247"/>
    <s v="Shoes"/>
    <x v="2"/>
    <x v="246"/>
    <n v="5"/>
    <x v="31"/>
    <x v="2"/>
    <n v="126615"/>
  </r>
  <r>
    <n v="248"/>
    <s v="Shoes"/>
    <x v="1"/>
    <x v="247"/>
    <n v="2"/>
    <x v="40"/>
    <x v="0"/>
    <n v="27926"/>
  </r>
  <r>
    <n v="249"/>
    <s v="Shoes"/>
    <x v="0"/>
    <x v="248"/>
    <n v="2"/>
    <x v="15"/>
    <x v="0"/>
    <n v="35370"/>
  </r>
  <r>
    <n v="250"/>
    <s v="T-shirt"/>
    <x v="2"/>
    <x v="249"/>
    <n v="3"/>
    <x v="34"/>
    <x v="0"/>
    <n v="79266"/>
  </r>
  <r>
    <n v="251"/>
    <s v="T-shirt"/>
    <x v="2"/>
    <x v="250"/>
    <n v="2"/>
    <x v="39"/>
    <x v="0"/>
    <n v="7146"/>
  </r>
  <r>
    <n v="252"/>
    <s v="Headphones"/>
    <x v="2"/>
    <x v="251"/>
    <n v="3"/>
    <x v="4"/>
    <x v="0"/>
    <n v="57198"/>
  </r>
  <r>
    <n v="253"/>
    <s v="Watch"/>
    <x v="1"/>
    <x v="252"/>
    <n v="3"/>
    <x v="101"/>
    <x v="4"/>
    <n v="128427"/>
  </r>
  <r>
    <n v="254"/>
    <s v="Bag"/>
    <x v="2"/>
    <x v="253"/>
    <n v="2"/>
    <x v="58"/>
    <x v="3"/>
    <n v="20812"/>
  </r>
  <r>
    <n v="255"/>
    <s v="T-shirt"/>
    <x v="1"/>
    <x v="254"/>
    <n v="1"/>
    <x v="3"/>
    <x v="4"/>
    <n v="47408"/>
  </r>
  <r>
    <n v="256"/>
    <s v="Headphones"/>
    <x v="0"/>
    <x v="255"/>
    <n v="2"/>
    <x v="92"/>
    <x v="3"/>
    <n v="96546"/>
  </r>
  <r>
    <n v="257"/>
    <s v="Laptop"/>
    <x v="0"/>
    <x v="256"/>
    <n v="4"/>
    <x v="105"/>
    <x v="3"/>
    <n v="163816"/>
  </r>
  <r>
    <n v="258"/>
    <s v="Laptop"/>
    <x v="1"/>
    <x v="257"/>
    <n v="5"/>
    <x v="11"/>
    <x v="1"/>
    <n v="160255"/>
  </r>
  <r>
    <n v="259"/>
    <s v="Headphones"/>
    <x v="1"/>
    <x v="258"/>
    <n v="1"/>
    <x v="14"/>
    <x v="3"/>
    <n v="2771"/>
  </r>
  <r>
    <n v="260"/>
    <s v="Watch"/>
    <x v="1"/>
    <x v="259"/>
    <n v="4"/>
    <x v="99"/>
    <x v="4"/>
    <n v="167180"/>
  </r>
  <r>
    <n v="261"/>
    <s v="Bag"/>
    <x v="1"/>
    <x v="260"/>
    <n v="2"/>
    <x v="66"/>
    <x v="3"/>
    <n v="53694"/>
  </r>
  <r>
    <n v="262"/>
    <s v="Watch"/>
    <x v="0"/>
    <x v="261"/>
    <n v="1"/>
    <x v="24"/>
    <x v="2"/>
    <n v="24930"/>
  </r>
  <r>
    <n v="263"/>
    <s v="Laptop"/>
    <x v="0"/>
    <x v="262"/>
    <n v="3"/>
    <x v="53"/>
    <x v="2"/>
    <n v="20805"/>
  </r>
  <r>
    <n v="264"/>
    <s v="T-shirt"/>
    <x v="1"/>
    <x v="263"/>
    <n v="3"/>
    <x v="70"/>
    <x v="3"/>
    <n v="29313"/>
  </r>
  <r>
    <n v="265"/>
    <s v="Laptop"/>
    <x v="2"/>
    <x v="264"/>
    <n v="1"/>
    <x v="81"/>
    <x v="0"/>
    <n v="45477"/>
  </r>
  <r>
    <n v="266"/>
    <s v="Shoes"/>
    <x v="1"/>
    <x v="265"/>
    <n v="3"/>
    <x v="90"/>
    <x v="0"/>
    <n v="126666"/>
  </r>
  <r>
    <n v="267"/>
    <s v="Laptop"/>
    <x v="2"/>
    <x v="266"/>
    <n v="1"/>
    <x v="55"/>
    <x v="3"/>
    <n v="33646"/>
  </r>
  <r>
    <n v="268"/>
    <s v="Laptop"/>
    <x v="1"/>
    <x v="267"/>
    <n v="5"/>
    <x v="97"/>
    <x v="4"/>
    <n v="35295"/>
  </r>
  <r>
    <n v="269"/>
    <s v="Watch"/>
    <x v="2"/>
    <x v="268"/>
    <n v="5"/>
    <x v="20"/>
    <x v="2"/>
    <n v="29295"/>
  </r>
  <r>
    <n v="270"/>
    <s v="Bag"/>
    <x v="2"/>
    <x v="269"/>
    <n v="3"/>
    <x v="103"/>
    <x v="1"/>
    <n v="113112"/>
  </r>
  <r>
    <n v="271"/>
    <s v="Headphones"/>
    <x v="2"/>
    <x v="270"/>
    <n v="3"/>
    <x v="96"/>
    <x v="1"/>
    <n v="22458"/>
  </r>
  <r>
    <n v="272"/>
    <s v="Shoes"/>
    <x v="0"/>
    <x v="271"/>
    <n v="1"/>
    <x v="76"/>
    <x v="4"/>
    <n v="36813"/>
  </r>
  <r>
    <n v="273"/>
    <s v="Headphones"/>
    <x v="1"/>
    <x v="272"/>
    <n v="1"/>
    <x v="34"/>
    <x v="2"/>
    <n v="44014"/>
  </r>
  <r>
    <n v="274"/>
    <s v="T-shirt"/>
    <x v="2"/>
    <x v="273"/>
    <n v="4"/>
    <x v="104"/>
    <x v="2"/>
    <n v="22832"/>
  </r>
  <r>
    <n v="275"/>
    <s v="Laptop"/>
    <x v="1"/>
    <x v="274"/>
    <n v="4"/>
    <x v="17"/>
    <x v="0"/>
    <n v="79828"/>
  </r>
  <r>
    <n v="276"/>
    <s v="Laptop"/>
    <x v="0"/>
    <x v="275"/>
    <n v="3"/>
    <x v="2"/>
    <x v="2"/>
    <n v="124263"/>
  </r>
  <r>
    <n v="277"/>
    <s v="Laptop"/>
    <x v="1"/>
    <x v="276"/>
    <n v="1"/>
    <x v="57"/>
    <x v="0"/>
    <n v="31975"/>
  </r>
  <r>
    <n v="278"/>
    <s v="Bag"/>
    <x v="0"/>
    <x v="277"/>
    <n v="1"/>
    <x v="38"/>
    <x v="0"/>
    <n v="36362"/>
  </r>
  <r>
    <n v="279"/>
    <s v="T-shirt"/>
    <x v="1"/>
    <x v="278"/>
    <n v="2"/>
    <x v="106"/>
    <x v="4"/>
    <n v="86152"/>
  </r>
  <r>
    <n v="280"/>
    <s v="Laptop"/>
    <x v="0"/>
    <x v="279"/>
    <n v="1"/>
    <x v="107"/>
    <x v="4"/>
    <n v="48714"/>
  </r>
  <r>
    <n v="281"/>
    <s v="Shoes"/>
    <x v="0"/>
    <x v="280"/>
    <n v="3"/>
    <x v="20"/>
    <x v="2"/>
    <n v="123267"/>
  </r>
  <r>
    <n v="282"/>
    <s v="Bag"/>
    <x v="1"/>
    <x v="281"/>
    <n v="5"/>
    <x v="101"/>
    <x v="1"/>
    <n v="82905"/>
  </r>
  <r>
    <n v="283"/>
    <s v="Watch"/>
    <x v="2"/>
    <x v="282"/>
    <n v="4"/>
    <x v="97"/>
    <x v="2"/>
    <n v="118636"/>
  </r>
  <r>
    <n v="284"/>
    <s v="Shoes"/>
    <x v="1"/>
    <x v="283"/>
    <n v="5"/>
    <x v="14"/>
    <x v="3"/>
    <n v="6915"/>
  </r>
  <r>
    <n v="285"/>
    <s v="Shoes"/>
    <x v="1"/>
    <x v="284"/>
    <n v="1"/>
    <x v="6"/>
    <x v="2"/>
    <n v="31713"/>
  </r>
  <r>
    <n v="286"/>
    <s v="Bag"/>
    <x v="1"/>
    <x v="285"/>
    <n v="1"/>
    <x v="44"/>
    <x v="2"/>
    <n v="46823"/>
  </r>
  <r>
    <n v="287"/>
    <s v="Laptop"/>
    <x v="2"/>
    <x v="286"/>
    <n v="1"/>
    <x v="106"/>
    <x v="3"/>
    <n v="8708"/>
  </r>
  <r>
    <n v="288"/>
    <s v="Watch"/>
    <x v="1"/>
    <x v="287"/>
    <n v="5"/>
    <x v="101"/>
    <x v="2"/>
    <n v="229045"/>
  </r>
  <r>
    <n v="289"/>
    <s v="Shoes"/>
    <x v="2"/>
    <x v="288"/>
    <n v="4"/>
    <x v="96"/>
    <x v="0"/>
    <n v="159808"/>
  </r>
  <r>
    <n v="290"/>
    <s v="Headphones"/>
    <x v="0"/>
    <x v="289"/>
    <n v="3"/>
    <x v="99"/>
    <x v="4"/>
    <n v="121545"/>
  </r>
  <r>
    <n v="291"/>
    <s v="Headphones"/>
    <x v="1"/>
    <x v="290"/>
    <n v="2"/>
    <x v="30"/>
    <x v="2"/>
    <n v="51950"/>
  </r>
  <r>
    <n v="292"/>
    <s v="Watch"/>
    <x v="0"/>
    <x v="291"/>
    <n v="5"/>
    <x v="67"/>
    <x v="1"/>
    <n v="211020"/>
  </r>
  <r>
    <n v="293"/>
    <s v="T-shirt"/>
    <x v="1"/>
    <x v="292"/>
    <n v="1"/>
    <x v="106"/>
    <x v="4"/>
    <n v="42265"/>
  </r>
  <r>
    <n v="294"/>
    <s v="Watch"/>
    <x v="0"/>
    <x v="293"/>
    <n v="4"/>
    <x v="84"/>
    <x v="4"/>
    <n v="20148"/>
  </r>
  <r>
    <n v="295"/>
    <s v="T-shirt"/>
    <x v="1"/>
    <x v="294"/>
    <n v="4"/>
    <x v="108"/>
    <x v="1"/>
    <n v="56436"/>
  </r>
  <r>
    <n v="296"/>
    <s v="Watch"/>
    <x v="1"/>
    <x v="295"/>
    <n v="4"/>
    <x v="109"/>
    <x v="2"/>
    <n v="67716"/>
  </r>
  <r>
    <n v="297"/>
    <s v="Shoes"/>
    <x v="0"/>
    <x v="296"/>
    <n v="3"/>
    <x v="100"/>
    <x v="3"/>
    <n v="40323"/>
  </r>
  <r>
    <n v="298"/>
    <s v="T-shirt"/>
    <x v="2"/>
    <x v="297"/>
    <n v="4"/>
    <x v="73"/>
    <x v="4"/>
    <n v="152064"/>
  </r>
  <r>
    <n v="299"/>
    <s v="Watch"/>
    <x v="0"/>
    <x v="298"/>
    <n v="1"/>
    <x v="61"/>
    <x v="2"/>
    <n v="41337"/>
  </r>
  <r>
    <n v="300"/>
    <s v="Shoes"/>
    <x v="0"/>
    <x v="299"/>
    <n v="5"/>
    <x v="60"/>
    <x v="2"/>
    <n v="11280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"/>
    <s v="Laptop"/>
    <s v="Electronics"/>
    <n v="10857"/>
    <n v="5"/>
    <x v="0"/>
    <s v="Delhi"/>
    <n v="54285"/>
  </r>
  <r>
    <n v="2"/>
    <s v="Laptop"/>
    <s v="Fashion"/>
    <n v="38870"/>
    <n v="3"/>
    <x v="1"/>
    <s v="Chennai"/>
    <n v="116610"/>
  </r>
  <r>
    <n v="3"/>
    <s v="Shoes"/>
    <s v="Fashion"/>
    <n v="29177"/>
    <n v="1"/>
    <x v="2"/>
    <s v="Chennai"/>
    <n v="29177"/>
  </r>
  <r>
    <n v="4"/>
    <s v="T-shirt"/>
    <s v="Electronics"/>
    <n v="11101"/>
    <n v="3"/>
    <x v="3"/>
    <s v="Kolkata"/>
    <n v="33303"/>
  </r>
  <r>
    <n v="5"/>
    <s v="Headphones"/>
    <s v="Fashion"/>
    <n v="36982"/>
    <n v="1"/>
    <x v="4"/>
    <s v="Delhi"/>
    <n v="36982"/>
  </r>
  <r>
    <n v="6"/>
    <s v="Watch"/>
    <s v="Accessories"/>
    <n v="41696"/>
    <n v="2"/>
    <x v="5"/>
    <s v="Bangalore"/>
    <n v="83392"/>
  </r>
  <r>
    <n v="7"/>
    <s v="Headphones"/>
    <s v="Electronics"/>
    <n v="22536"/>
    <n v="5"/>
    <x v="6"/>
    <s v="Bangalore"/>
    <n v="112680"/>
  </r>
  <r>
    <n v="8"/>
    <s v="Bag"/>
    <s v="Fashion"/>
    <n v="18471"/>
    <n v="5"/>
    <x v="7"/>
    <s v="Mumbai"/>
    <n v="92355"/>
  </r>
  <r>
    <n v="9"/>
    <s v="Watch"/>
    <s v="Accessories"/>
    <n v="32446"/>
    <n v="2"/>
    <x v="8"/>
    <s v="Delhi"/>
    <n v="64892"/>
  </r>
  <r>
    <n v="10"/>
    <s v="Laptop"/>
    <s v="Accessories"/>
    <n v="19471"/>
    <n v="3"/>
    <x v="9"/>
    <s v="Kolkata"/>
    <n v="58413"/>
  </r>
  <r>
    <n v="11"/>
    <s v="Bag"/>
    <s v="Accessories"/>
    <n v="40107"/>
    <n v="3"/>
    <x v="10"/>
    <s v="Kolkata"/>
    <n v="120321"/>
  </r>
  <r>
    <n v="12"/>
    <s v="Laptop"/>
    <s v="Accessories"/>
    <n v="28317"/>
    <n v="2"/>
    <x v="3"/>
    <s v="Mumbai"/>
    <n v="56634"/>
  </r>
  <r>
    <n v="13"/>
    <s v="Shoes"/>
    <s v="Accessories"/>
    <n v="28129"/>
    <n v="3"/>
    <x v="11"/>
    <s v="Mumbai"/>
    <n v="84387"/>
  </r>
  <r>
    <n v="14"/>
    <s v="Bag"/>
    <s v="Electronics"/>
    <n v="33482"/>
    <n v="4"/>
    <x v="12"/>
    <s v="Bangalore"/>
    <n v="133928"/>
  </r>
  <r>
    <n v="15"/>
    <s v="Headphones"/>
    <s v="Fashion"/>
    <n v="28202"/>
    <n v="2"/>
    <x v="13"/>
    <s v="Chennai"/>
    <n v="56404"/>
  </r>
  <r>
    <n v="16"/>
    <s v="Laptop"/>
    <s v="Accessories"/>
    <n v="19319"/>
    <n v="1"/>
    <x v="14"/>
    <s v="Chennai"/>
    <n v="19319"/>
  </r>
  <r>
    <n v="17"/>
    <s v="Headphones"/>
    <s v="Electronics"/>
    <n v="6609"/>
    <n v="1"/>
    <x v="15"/>
    <s v="Chennai"/>
    <n v="6609"/>
  </r>
  <r>
    <n v="18"/>
    <s v="Headphones"/>
    <s v="Electronics"/>
    <n v="15594"/>
    <n v="2"/>
    <x v="16"/>
    <s v="Chennai"/>
    <n v="31188"/>
  </r>
  <r>
    <n v="19"/>
    <s v="Headphones"/>
    <s v="Accessories"/>
    <n v="29285"/>
    <n v="4"/>
    <x v="17"/>
    <s v="Delhi"/>
    <n v="117140"/>
  </r>
  <r>
    <n v="20"/>
    <s v="Watch"/>
    <s v="Electronics"/>
    <n v="46883"/>
    <n v="1"/>
    <x v="18"/>
    <s v="Delhi"/>
    <n v="46883"/>
  </r>
  <r>
    <n v="21"/>
    <s v="Watch"/>
    <s v="Accessories"/>
    <n v="4823"/>
    <n v="4"/>
    <x v="19"/>
    <s v="Kolkata"/>
    <n v="19292"/>
  </r>
  <r>
    <n v="22"/>
    <s v="Bag"/>
    <s v="Accessories"/>
    <n v="18057"/>
    <n v="2"/>
    <x v="20"/>
    <s v="Delhi"/>
    <n v="36114"/>
  </r>
  <r>
    <n v="23"/>
    <s v="Headphones"/>
    <s v="Electronics"/>
    <n v="12628"/>
    <n v="2"/>
    <x v="21"/>
    <s v="Mumbai"/>
    <n v="25256"/>
  </r>
  <r>
    <n v="24"/>
    <s v="T-shirt"/>
    <s v="Electronics"/>
    <n v="21762"/>
    <n v="4"/>
    <x v="15"/>
    <s v="Mumbai"/>
    <n v="87048"/>
  </r>
  <r>
    <n v="25"/>
    <s v="Shoes"/>
    <s v="Electronics"/>
    <n v="15863"/>
    <n v="3"/>
    <x v="22"/>
    <s v="Kolkata"/>
    <n v="47589"/>
  </r>
  <r>
    <n v="26"/>
    <s v="Watch"/>
    <s v="Electronics"/>
    <n v="11887"/>
    <n v="4"/>
    <x v="23"/>
    <s v="Kolkata"/>
    <n v="47548"/>
  </r>
  <r>
    <n v="27"/>
    <s v="T-shirt"/>
    <s v="Electronics"/>
    <n v="48585"/>
    <n v="1"/>
    <x v="24"/>
    <s v="Delhi"/>
    <n v="48585"/>
  </r>
  <r>
    <n v="28"/>
    <s v="Headphones"/>
    <s v="Accessories"/>
    <n v="7024"/>
    <n v="3"/>
    <x v="25"/>
    <s v="Mumbai"/>
    <n v="21072"/>
  </r>
  <r>
    <n v="29"/>
    <s v="Laptop"/>
    <s v="Electronics"/>
    <n v="34736"/>
    <n v="5"/>
    <x v="26"/>
    <s v="Chennai"/>
    <n v="173680"/>
  </r>
  <r>
    <n v="30"/>
    <s v="T-shirt"/>
    <s v="Electronics"/>
    <n v="15484"/>
    <n v="3"/>
    <x v="27"/>
    <s v="Bangalore"/>
    <n v="46452"/>
  </r>
  <r>
    <n v="31"/>
    <s v="Laptop"/>
    <s v="Fashion"/>
    <n v="27628"/>
    <n v="2"/>
    <x v="28"/>
    <s v="Chennai"/>
    <n v="55256"/>
  </r>
  <r>
    <n v="32"/>
    <s v="T-shirt"/>
    <s v="Fashion"/>
    <n v="10951"/>
    <n v="5"/>
    <x v="29"/>
    <s v="Bangalore"/>
    <n v="54755"/>
  </r>
  <r>
    <n v="33"/>
    <s v="Headphones"/>
    <s v="Accessories"/>
    <n v="10440"/>
    <n v="3"/>
    <x v="30"/>
    <s v="Kolkata"/>
    <n v="31320"/>
  </r>
  <r>
    <n v="34"/>
    <s v="Bag"/>
    <s v="Accessories"/>
    <n v="36820"/>
    <n v="4"/>
    <x v="31"/>
    <s v="Bangalore"/>
    <n v="147280"/>
  </r>
  <r>
    <n v="35"/>
    <s v="Watch"/>
    <s v="Fashion"/>
    <n v="12038"/>
    <n v="1"/>
    <x v="32"/>
    <s v="Chennai"/>
    <n v="12038"/>
  </r>
  <r>
    <n v="36"/>
    <s v="Shoes"/>
    <s v="Fashion"/>
    <n v="22026"/>
    <n v="2"/>
    <x v="33"/>
    <s v="Chennai"/>
    <n v="44052"/>
  </r>
  <r>
    <n v="37"/>
    <s v="T-shirt"/>
    <s v="Electronics"/>
    <n v="30119"/>
    <n v="2"/>
    <x v="34"/>
    <s v="Delhi"/>
    <n v="60238"/>
  </r>
  <r>
    <n v="38"/>
    <s v="Headphones"/>
    <s v="Fashion"/>
    <n v="41734"/>
    <n v="4"/>
    <x v="30"/>
    <s v="Chennai"/>
    <n v="166936"/>
  </r>
  <r>
    <n v="39"/>
    <s v="Bag"/>
    <s v="Fashion"/>
    <n v="870"/>
    <n v="5"/>
    <x v="8"/>
    <s v="Delhi"/>
    <n v="4350"/>
  </r>
  <r>
    <n v="40"/>
    <s v="Bag"/>
    <s v="Fashion"/>
    <n v="47661"/>
    <n v="1"/>
    <x v="35"/>
    <s v="Chennai"/>
    <n v="47661"/>
  </r>
  <r>
    <n v="41"/>
    <s v="Watch"/>
    <s v="Electronics"/>
    <n v="32565"/>
    <n v="1"/>
    <x v="36"/>
    <s v="Chennai"/>
    <n v="32565"/>
  </r>
  <r>
    <n v="42"/>
    <s v="Watch"/>
    <s v="Electronics"/>
    <n v="22164"/>
    <n v="5"/>
    <x v="37"/>
    <s v="Kolkata"/>
    <n v="110820"/>
  </r>
  <r>
    <n v="43"/>
    <s v="Shoes"/>
    <s v="Electronics"/>
    <n v="22201"/>
    <n v="5"/>
    <x v="38"/>
    <s v="Delhi"/>
    <n v="111005"/>
  </r>
  <r>
    <n v="44"/>
    <s v="Headphones"/>
    <s v="Accessories"/>
    <n v="24260"/>
    <n v="3"/>
    <x v="39"/>
    <s v="Kolkata"/>
    <n v="72780"/>
  </r>
  <r>
    <n v="45"/>
    <s v="T-shirt"/>
    <s v="Electronics"/>
    <n v="24610"/>
    <n v="2"/>
    <x v="40"/>
    <s v="Chennai"/>
    <n v="49220"/>
  </r>
  <r>
    <n v="46"/>
    <s v="Headphones"/>
    <s v="Accessories"/>
    <n v="36267"/>
    <n v="3"/>
    <x v="41"/>
    <s v="Kolkata"/>
    <n v="108801"/>
  </r>
  <r>
    <n v="47"/>
    <s v="Watch"/>
    <s v="Fashion"/>
    <n v="24403"/>
    <n v="3"/>
    <x v="42"/>
    <s v="Kolkata"/>
    <n v="73209"/>
  </r>
  <r>
    <n v="48"/>
    <s v="Watch"/>
    <s v="Fashion"/>
    <n v="6872"/>
    <n v="2"/>
    <x v="43"/>
    <s v="Bangalore"/>
    <n v="13744"/>
  </r>
  <r>
    <n v="49"/>
    <s v="Bag"/>
    <s v="Electronics"/>
    <n v="5024"/>
    <n v="1"/>
    <x v="44"/>
    <s v="Bangalore"/>
    <n v="5024"/>
  </r>
  <r>
    <n v="50"/>
    <s v="Laptop"/>
    <s v="Electronics"/>
    <n v="39801"/>
    <n v="2"/>
    <x v="45"/>
    <s v="Kolkata"/>
    <n v="79602"/>
  </r>
  <r>
    <n v="51"/>
    <s v="Bag"/>
    <s v="Fashion"/>
    <n v="3215"/>
    <n v="4"/>
    <x v="36"/>
    <s v="Kolkata"/>
    <n v="12860"/>
  </r>
  <r>
    <n v="52"/>
    <s v="Headphones"/>
    <s v="Fashion"/>
    <n v="38342"/>
    <n v="1"/>
    <x v="46"/>
    <s v="Mumbai"/>
    <n v="38342"/>
  </r>
  <r>
    <n v="53"/>
    <s v="T-shirt"/>
    <s v="Fashion"/>
    <n v="46666"/>
    <n v="3"/>
    <x v="31"/>
    <s v="Mumbai"/>
    <n v="139998"/>
  </r>
  <r>
    <n v="54"/>
    <s v="Laptop"/>
    <s v="Accessories"/>
    <n v="42281"/>
    <n v="1"/>
    <x v="47"/>
    <s v="Mumbai"/>
    <n v="42281"/>
  </r>
  <r>
    <n v="55"/>
    <s v="Laptop"/>
    <s v="Accessories"/>
    <n v="10383"/>
    <n v="5"/>
    <x v="48"/>
    <s v="Kolkata"/>
    <n v="51915"/>
  </r>
  <r>
    <n v="56"/>
    <s v="Watch"/>
    <s v="Electronics"/>
    <n v="16221"/>
    <n v="1"/>
    <x v="49"/>
    <s v="Kolkata"/>
    <n v="16221"/>
  </r>
  <r>
    <n v="57"/>
    <s v="T-shirt"/>
    <s v="Fashion"/>
    <n v="25195"/>
    <n v="4"/>
    <x v="17"/>
    <s v="Delhi"/>
    <n v="100780"/>
  </r>
  <r>
    <n v="58"/>
    <s v="Shoes"/>
    <s v="Accessories"/>
    <n v="16746"/>
    <n v="5"/>
    <x v="50"/>
    <s v="Mumbai"/>
    <n v="83730"/>
  </r>
  <r>
    <n v="59"/>
    <s v="Watch"/>
    <s v="Fashion"/>
    <n v="38300"/>
    <n v="3"/>
    <x v="51"/>
    <s v="Delhi"/>
    <n v="114900"/>
  </r>
  <r>
    <n v="60"/>
    <s v="Watch"/>
    <s v="Electronics"/>
    <n v="19239"/>
    <n v="4"/>
    <x v="3"/>
    <s v="Kolkata"/>
    <n v="76956"/>
  </r>
  <r>
    <n v="61"/>
    <s v="Laptop"/>
    <s v="Fashion"/>
    <n v="49789"/>
    <n v="2"/>
    <x v="40"/>
    <s v="Chennai"/>
    <n v="99578"/>
  </r>
  <r>
    <n v="62"/>
    <s v="Watch"/>
    <s v="Electronics"/>
    <n v="17309"/>
    <n v="1"/>
    <x v="26"/>
    <s v="Kolkata"/>
    <n v="17309"/>
  </r>
  <r>
    <n v="63"/>
    <s v="Bag"/>
    <s v="Accessories"/>
    <n v="33476"/>
    <n v="3"/>
    <x v="52"/>
    <s v="Chennai"/>
    <n v="100428"/>
  </r>
  <r>
    <n v="64"/>
    <s v="Laptop"/>
    <s v="Electronics"/>
    <n v="12576"/>
    <n v="3"/>
    <x v="53"/>
    <s v="Kolkata"/>
    <n v="37728"/>
  </r>
  <r>
    <n v="65"/>
    <s v="T-shirt"/>
    <s v="Accessories"/>
    <n v="22520"/>
    <n v="4"/>
    <x v="0"/>
    <s v="Mumbai"/>
    <n v="90080"/>
  </r>
  <r>
    <n v="66"/>
    <s v="Headphones"/>
    <s v="Electronics"/>
    <n v="20269"/>
    <n v="2"/>
    <x v="51"/>
    <s v="Bangalore"/>
    <n v="40538"/>
  </r>
  <r>
    <n v="67"/>
    <s v="Watch"/>
    <s v="Fashion"/>
    <n v="10377"/>
    <n v="5"/>
    <x v="12"/>
    <s v="Chennai"/>
    <n v="51885"/>
  </r>
  <r>
    <n v="68"/>
    <s v="Shoes"/>
    <s v="Electronics"/>
    <n v="37491"/>
    <n v="3"/>
    <x v="48"/>
    <s v="Mumbai"/>
    <n v="112473"/>
  </r>
  <r>
    <n v="69"/>
    <s v="Shoes"/>
    <s v="Accessories"/>
    <n v="38242"/>
    <n v="3"/>
    <x v="22"/>
    <s v="Mumbai"/>
    <n v="114726"/>
  </r>
  <r>
    <n v="70"/>
    <s v="Laptop"/>
    <s v="Fashion"/>
    <n v="15270"/>
    <n v="1"/>
    <x v="54"/>
    <s v="Mumbai"/>
    <n v="15270"/>
  </r>
  <r>
    <n v="71"/>
    <s v="Bag"/>
    <s v="Fashion"/>
    <n v="46045"/>
    <n v="1"/>
    <x v="55"/>
    <s v="Delhi"/>
    <n v="46045"/>
  </r>
  <r>
    <n v="72"/>
    <s v="Bag"/>
    <s v="Accessories"/>
    <n v="16803"/>
    <n v="3"/>
    <x v="21"/>
    <s v="Kolkata"/>
    <n v="50409"/>
  </r>
  <r>
    <n v="73"/>
    <s v="Shoes"/>
    <s v="Accessories"/>
    <n v="7379"/>
    <n v="5"/>
    <x v="24"/>
    <s v="Mumbai"/>
    <n v="36895"/>
  </r>
  <r>
    <n v="74"/>
    <s v="Headphones"/>
    <s v="Electronics"/>
    <n v="21238"/>
    <n v="1"/>
    <x v="56"/>
    <s v="Bangalore"/>
    <n v="21238"/>
  </r>
  <r>
    <n v="75"/>
    <s v="T-shirt"/>
    <s v="Fashion"/>
    <n v="36965"/>
    <n v="2"/>
    <x v="57"/>
    <s v="Mumbai"/>
    <n v="73930"/>
  </r>
  <r>
    <n v="76"/>
    <s v="Headphones"/>
    <s v="Electronics"/>
    <n v="913"/>
    <n v="3"/>
    <x v="52"/>
    <s v="Bangalore"/>
    <n v="2739"/>
  </r>
  <r>
    <n v="77"/>
    <s v="T-shirt"/>
    <s v="Electronics"/>
    <n v="8345"/>
    <n v="2"/>
    <x v="58"/>
    <s v="Kolkata"/>
    <n v="16690"/>
  </r>
  <r>
    <n v="78"/>
    <s v="T-shirt"/>
    <s v="Fashion"/>
    <n v="49386"/>
    <n v="4"/>
    <x v="59"/>
    <s v="Kolkata"/>
    <n v="197544"/>
  </r>
  <r>
    <n v="79"/>
    <s v="Headphones"/>
    <s v="Accessories"/>
    <n v="20644"/>
    <n v="2"/>
    <x v="43"/>
    <s v="Delhi"/>
    <n v="41288"/>
  </r>
  <r>
    <n v="80"/>
    <s v="Bag"/>
    <s v="Accessories"/>
    <n v="34734"/>
    <n v="5"/>
    <x v="60"/>
    <s v="Delhi"/>
    <n v="173670"/>
  </r>
  <r>
    <n v="81"/>
    <s v="Shoes"/>
    <s v="Electronics"/>
    <n v="33691"/>
    <n v="2"/>
    <x v="61"/>
    <s v="Mumbai"/>
    <n v="67382"/>
  </r>
  <r>
    <n v="82"/>
    <s v="Headphones"/>
    <s v="Fashion"/>
    <n v="2659"/>
    <n v="5"/>
    <x v="38"/>
    <s v="Mumbai"/>
    <n v="13295"/>
  </r>
  <r>
    <n v="83"/>
    <s v="Headphones"/>
    <s v="Electronics"/>
    <n v="8122"/>
    <n v="5"/>
    <x v="26"/>
    <s v="Kolkata"/>
    <n v="40610"/>
  </r>
  <r>
    <n v="84"/>
    <s v="Headphones"/>
    <s v="Electronics"/>
    <n v="36656"/>
    <n v="3"/>
    <x v="62"/>
    <s v="Delhi"/>
    <n v="109968"/>
  </r>
  <r>
    <n v="85"/>
    <s v="Shoes"/>
    <s v="Electronics"/>
    <n v="5107"/>
    <n v="1"/>
    <x v="63"/>
    <s v="Mumbai"/>
    <n v="5107"/>
  </r>
  <r>
    <n v="86"/>
    <s v="Bag"/>
    <s v="Electronics"/>
    <n v="47261"/>
    <n v="5"/>
    <x v="64"/>
    <s v="Mumbai"/>
    <n v="236305"/>
  </r>
  <r>
    <n v="87"/>
    <s v="Bag"/>
    <s v="Accessories"/>
    <n v="33475"/>
    <n v="3"/>
    <x v="38"/>
    <s v="Delhi"/>
    <n v="100425"/>
  </r>
  <r>
    <n v="88"/>
    <s v="Shoes"/>
    <s v="Fashion"/>
    <n v="40285"/>
    <n v="5"/>
    <x v="65"/>
    <s v="Mumbai"/>
    <n v="201425"/>
  </r>
  <r>
    <n v="89"/>
    <s v="Headphones"/>
    <s v="Electronics"/>
    <n v="27356"/>
    <n v="3"/>
    <x v="66"/>
    <s v="Kolkata"/>
    <n v="82068"/>
  </r>
  <r>
    <n v="90"/>
    <s v="Watch"/>
    <s v="Electronics"/>
    <n v="30236"/>
    <n v="1"/>
    <x v="67"/>
    <s v="Chennai"/>
    <n v="30236"/>
  </r>
  <r>
    <n v="91"/>
    <s v="Watch"/>
    <s v="Electronics"/>
    <n v="3523"/>
    <n v="3"/>
    <x v="36"/>
    <s v="Bangalore"/>
    <n v="10569"/>
  </r>
  <r>
    <n v="92"/>
    <s v="T-shirt"/>
    <s v="Fashion"/>
    <n v="34091"/>
    <n v="2"/>
    <x v="65"/>
    <s v="Mumbai"/>
    <n v="68182"/>
  </r>
  <r>
    <n v="93"/>
    <s v="Shoes"/>
    <s v="Accessories"/>
    <n v="12946"/>
    <n v="1"/>
    <x v="23"/>
    <s v="Bangalore"/>
    <n v="12946"/>
  </r>
  <r>
    <n v="94"/>
    <s v="Watch"/>
    <s v="Fashion"/>
    <n v="42625"/>
    <n v="1"/>
    <x v="54"/>
    <s v="Chennai"/>
    <n v="42625"/>
  </r>
  <r>
    <n v="95"/>
    <s v="Bag"/>
    <s v="Accessories"/>
    <n v="15665"/>
    <n v="4"/>
    <x v="68"/>
    <s v="Bangalore"/>
    <n v="62660"/>
  </r>
  <r>
    <n v="96"/>
    <s v="Watch"/>
    <s v="Fashion"/>
    <n v="36752"/>
    <n v="4"/>
    <x v="35"/>
    <s v="Delhi"/>
    <n v="147008"/>
  </r>
  <r>
    <n v="97"/>
    <s v="Headphones"/>
    <s v="Accessories"/>
    <n v="23802"/>
    <n v="5"/>
    <x v="69"/>
    <s v="Kolkata"/>
    <n v="119010"/>
  </r>
  <r>
    <n v="98"/>
    <s v="Laptop"/>
    <s v="Fashion"/>
    <n v="27410"/>
    <n v="2"/>
    <x v="70"/>
    <s v="Chennai"/>
    <n v="54820"/>
  </r>
  <r>
    <n v="99"/>
    <s v="Shoes"/>
    <s v="Fashion"/>
    <n v="43044"/>
    <n v="4"/>
    <x v="25"/>
    <s v="Bangalore"/>
    <n v="172176"/>
  </r>
  <r>
    <n v="100"/>
    <s v="Shoes"/>
    <s v="Accessories"/>
    <n v="16208"/>
    <n v="2"/>
    <x v="71"/>
    <s v="Delhi"/>
    <n v="32416"/>
  </r>
  <r>
    <n v="101"/>
    <s v="Shoes"/>
    <s v="Accessories"/>
    <n v="30190"/>
    <n v="2"/>
    <x v="72"/>
    <s v="Chennai"/>
    <n v="60380"/>
  </r>
  <r>
    <n v="102"/>
    <s v="Shoes"/>
    <s v="Fashion"/>
    <n v="30020"/>
    <n v="1"/>
    <x v="48"/>
    <s v="Chennai"/>
    <n v="30020"/>
  </r>
  <r>
    <n v="103"/>
    <s v="Headphones"/>
    <s v="Fashion"/>
    <n v="17911"/>
    <n v="5"/>
    <x v="70"/>
    <s v="Kolkata"/>
    <n v="89555"/>
  </r>
  <r>
    <n v="104"/>
    <s v="Watch"/>
    <s v="Electronics"/>
    <n v="27342"/>
    <n v="4"/>
    <x v="57"/>
    <s v="Mumbai"/>
    <n v="109368"/>
  </r>
  <r>
    <n v="105"/>
    <s v="Headphones"/>
    <s v="Electronics"/>
    <n v="9614"/>
    <n v="5"/>
    <x v="73"/>
    <s v="Delhi"/>
    <n v="48070"/>
  </r>
  <r>
    <n v="106"/>
    <s v="T-shirt"/>
    <s v="Electronics"/>
    <n v="19165"/>
    <n v="1"/>
    <x v="20"/>
    <s v="Bangalore"/>
    <n v="19165"/>
  </r>
  <r>
    <n v="107"/>
    <s v="Watch"/>
    <s v="Accessories"/>
    <n v="19093"/>
    <n v="3"/>
    <x v="74"/>
    <s v="Kolkata"/>
    <n v="57279"/>
  </r>
  <r>
    <n v="108"/>
    <s v="Watch"/>
    <s v="Accessories"/>
    <n v="24159"/>
    <n v="4"/>
    <x v="7"/>
    <s v="Bangalore"/>
    <n v="96636"/>
  </r>
  <r>
    <n v="109"/>
    <s v="Headphones"/>
    <s v="Electronics"/>
    <n v="18873"/>
    <n v="1"/>
    <x v="35"/>
    <s v="Mumbai"/>
    <n v="18873"/>
  </r>
  <r>
    <n v="110"/>
    <s v="Bag"/>
    <s v="Accessories"/>
    <n v="15710"/>
    <n v="3"/>
    <x v="75"/>
    <s v="Delhi"/>
    <n v="47130"/>
  </r>
  <r>
    <n v="111"/>
    <s v="Shoes"/>
    <s v="Fashion"/>
    <n v="49116"/>
    <n v="4"/>
    <x v="60"/>
    <s v="Chennai"/>
    <n v="196464"/>
  </r>
  <r>
    <n v="112"/>
    <s v="Bag"/>
    <s v="Fashion"/>
    <n v="19943"/>
    <n v="4"/>
    <x v="19"/>
    <s v="Kolkata"/>
    <n v="79772"/>
  </r>
  <r>
    <n v="113"/>
    <s v="Headphones"/>
    <s v="Fashion"/>
    <n v="9007"/>
    <n v="2"/>
    <x v="26"/>
    <s v="Mumbai"/>
    <n v="18014"/>
  </r>
  <r>
    <n v="114"/>
    <s v="Laptop"/>
    <s v="Electronics"/>
    <n v="38362"/>
    <n v="5"/>
    <x v="46"/>
    <s v="Kolkata"/>
    <n v="191810"/>
  </r>
  <r>
    <n v="115"/>
    <s v="Laptop"/>
    <s v="Fashion"/>
    <n v="15335"/>
    <n v="1"/>
    <x v="17"/>
    <s v="Chennai"/>
    <n v="15335"/>
  </r>
  <r>
    <n v="116"/>
    <s v="T-shirt"/>
    <s v="Electronics"/>
    <n v="42348"/>
    <n v="2"/>
    <x v="3"/>
    <s v="Mumbai"/>
    <n v="84696"/>
  </r>
  <r>
    <n v="117"/>
    <s v="Bag"/>
    <s v="Fashion"/>
    <n v="42196"/>
    <n v="1"/>
    <x v="3"/>
    <s v="Mumbai"/>
    <n v="42196"/>
  </r>
  <r>
    <n v="118"/>
    <s v="Headphones"/>
    <s v="Accessories"/>
    <n v="3362"/>
    <n v="4"/>
    <x v="70"/>
    <s v="Bangalore"/>
    <n v="13448"/>
  </r>
  <r>
    <n v="119"/>
    <s v="Bag"/>
    <s v="Fashion"/>
    <n v="13438"/>
    <n v="5"/>
    <x v="76"/>
    <s v="Kolkata"/>
    <n v="67190"/>
  </r>
  <r>
    <n v="120"/>
    <s v="T-shirt"/>
    <s v="Accessories"/>
    <n v="49663"/>
    <n v="3"/>
    <x v="26"/>
    <s v="Bangalore"/>
    <n v="148989"/>
  </r>
  <r>
    <n v="121"/>
    <s v="Watch"/>
    <s v="Fashion"/>
    <n v="14473"/>
    <n v="2"/>
    <x v="77"/>
    <s v="Bangalore"/>
    <n v="28946"/>
  </r>
  <r>
    <n v="122"/>
    <s v="T-shirt"/>
    <s v="Fashion"/>
    <n v="42655"/>
    <n v="2"/>
    <x v="5"/>
    <s v="Kolkata"/>
    <n v="85310"/>
  </r>
  <r>
    <n v="123"/>
    <s v="Headphones"/>
    <s v="Electronics"/>
    <n v="36418"/>
    <n v="2"/>
    <x v="16"/>
    <s v="Kolkata"/>
    <n v="72836"/>
  </r>
  <r>
    <n v="124"/>
    <s v="T-shirt"/>
    <s v="Fashion"/>
    <n v="4483"/>
    <n v="5"/>
    <x v="78"/>
    <s v="Kolkata"/>
    <n v="22415"/>
  </r>
  <r>
    <n v="125"/>
    <s v="T-shirt"/>
    <s v="Fashion"/>
    <n v="39701"/>
    <n v="4"/>
    <x v="10"/>
    <s v="Chennai"/>
    <n v="158804"/>
  </r>
  <r>
    <n v="126"/>
    <s v="Headphones"/>
    <s v="Electronics"/>
    <n v="32049"/>
    <n v="5"/>
    <x v="36"/>
    <s v="Chennai"/>
    <n v="160245"/>
  </r>
  <r>
    <n v="127"/>
    <s v="Headphones"/>
    <s v="Electronics"/>
    <n v="7545"/>
    <n v="4"/>
    <x v="79"/>
    <s v="Mumbai"/>
    <n v="30180"/>
  </r>
  <r>
    <n v="128"/>
    <s v="T-shirt"/>
    <s v="Electronics"/>
    <n v="42636"/>
    <n v="4"/>
    <x v="32"/>
    <s v="Delhi"/>
    <n v="170544"/>
  </r>
  <r>
    <n v="129"/>
    <s v="Bag"/>
    <s v="Electronics"/>
    <n v="28281"/>
    <n v="3"/>
    <x v="37"/>
    <s v="Chennai"/>
    <n v="84843"/>
  </r>
  <r>
    <n v="130"/>
    <s v="Watch"/>
    <s v="Fashion"/>
    <n v="23739"/>
    <n v="2"/>
    <x v="12"/>
    <s v="Bangalore"/>
    <n v="47478"/>
  </r>
  <r>
    <n v="131"/>
    <s v="Watch"/>
    <s v="Accessories"/>
    <n v="44239"/>
    <n v="2"/>
    <x v="38"/>
    <s v="Mumbai"/>
    <n v="88478"/>
  </r>
  <r>
    <n v="132"/>
    <s v="Watch"/>
    <s v="Electronics"/>
    <n v="11700"/>
    <n v="5"/>
    <x v="4"/>
    <s v="Chennai"/>
    <n v="58500"/>
  </r>
  <r>
    <n v="133"/>
    <s v="Watch"/>
    <s v="Electronics"/>
    <n v="20500"/>
    <n v="2"/>
    <x v="46"/>
    <s v="Mumbai"/>
    <n v="41000"/>
  </r>
  <r>
    <n v="134"/>
    <s v="Shoes"/>
    <s v="Accessories"/>
    <n v="47470"/>
    <n v="4"/>
    <x v="56"/>
    <s v="Mumbai"/>
    <n v="189880"/>
  </r>
  <r>
    <n v="135"/>
    <s v="Bag"/>
    <s v="Fashion"/>
    <n v="46988"/>
    <n v="4"/>
    <x v="80"/>
    <s v="Mumbai"/>
    <n v="187952"/>
  </r>
  <r>
    <n v="136"/>
    <s v="T-shirt"/>
    <s v="Fashion"/>
    <n v="32567"/>
    <n v="3"/>
    <x v="81"/>
    <s v="Chennai"/>
    <n v="97701"/>
  </r>
  <r>
    <n v="137"/>
    <s v="Laptop"/>
    <s v="Accessories"/>
    <n v="24016"/>
    <n v="3"/>
    <x v="82"/>
    <s v="Bangalore"/>
    <n v="72048"/>
  </r>
  <r>
    <n v="138"/>
    <s v="Bag"/>
    <s v="Fashion"/>
    <n v="49964"/>
    <n v="5"/>
    <x v="83"/>
    <s v="Kolkata"/>
    <n v="249820"/>
  </r>
  <r>
    <n v="139"/>
    <s v="Headphones"/>
    <s v="Electronics"/>
    <n v="1668"/>
    <n v="4"/>
    <x v="33"/>
    <s v="Delhi"/>
    <n v="6672"/>
  </r>
  <r>
    <n v="140"/>
    <s v="Shoes"/>
    <s v="Fashion"/>
    <n v="49599"/>
    <n v="5"/>
    <x v="57"/>
    <s v="Bangalore"/>
    <n v="247995"/>
  </r>
  <r>
    <n v="141"/>
    <s v="Laptop"/>
    <s v="Fashion"/>
    <n v="37835"/>
    <n v="2"/>
    <x v="84"/>
    <s v="Bangalore"/>
    <n v="75670"/>
  </r>
  <r>
    <n v="142"/>
    <s v="Headphones"/>
    <s v="Electronics"/>
    <n v="21948"/>
    <n v="1"/>
    <x v="42"/>
    <s v="Chennai"/>
    <n v="21948"/>
  </r>
  <r>
    <n v="143"/>
    <s v="T-shirt"/>
    <s v="Electronics"/>
    <n v="31159"/>
    <n v="4"/>
    <x v="4"/>
    <s v="Chennai"/>
    <n v="124636"/>
  </r>
  <r>
    <n v="144"/>
    <s v="Shoes"/>
    <s v="Fashion"/>
    <n v="46153"/>
    <n v="5"/>
    <x v="75"/>
    <s v="Delhi"/>
    <n v="230765"/>
  </r>
  <r>
    <n v="145"/>
    <s v="Laptop"/>
    <s v="Accessories"/>
    <n v="47296"/>
    <n v="1"/>
    <x v="85"/>
    <s v="Mumbai"/>
    <n v="47296"/>
  </r>
  <r>
    <n v="146"/>
    <s v="Watch"/>
    <s v="Accessories"/>
    <n v="37716"/>
    <n v="2"/>
    <x v="86"/>
    <s v="Chennai"/>
    <n v="75432"/>
  </r>
  <r>
    <n v="147"/>
    <s v="Bag"/>
    <s v="Electronics"/>
    <n v="23417"/>
    <n v="1"/>
    <x v="38"/>
    <s v="Delhi"/>
    <n v="23417"/>
  </r>
  <r>
    <n v="148"/>
    <s v="Bag"/>
    <s v="Electronics"/>
    <n v="11770"/>
    <n v="4"/>
    <x v="61"/>
    <s v="Delhi"/>
    <n v="47080"/>
  </r>
  <r>
    <n v="149"/>
    <s v="Laptop"/>
    <s v="Electronics"/>
    <n v="29320"/>
    <n v="3"/>
    <x v="48"/>
    <s v="Mumbai"/>
    <n v="87960"/>
  </r>
  <r>
    <n v="150"/>
    <s v="Laptop"/>
    <s v="Electronics"/>
    <n v="28456"/>
    <n v="2"/>
    <x v="15"/>
    <s v="Kolkata"/>
    <n v="56912"/>
  </r>
  <r>
    <n v="151"/>
    <s v="Bag"/>
    <s v="Electronics"/>
    <n v="36955"/>
    <n v="5"/>
    <x v="37"/>
    <s v="Chennai"/>
    <n v="184775"/>
  </r>
  <r>
    <n v="152"/>
    <s v="Laptop"/>
    <s v="Electronics"/>
    <n v="40020"/>
    <n v="5"/>
    <x v="11"/>
    <s v="Mumbai"/>
    <n v="200100"/>
  </r>
  <r>
    <n v="153"/>
    <s v="Laptop"/>
    <s v="Accessories"/>
    <n v="49837"/>
    <n v="4"/>
    <x v="87"/>
    <s v="Delhi"/>
    <n v="199348"/>
  </r>
  <r>
    <n v="154"/>
    <s v="Watch"/>
    <s v="Electronics"/>
    <n v="43158"/>
    <n v="4"/>
    <x v="10"/>
    <s v="Delhi"/>
    <n v="172632"/>
  </r>
  <r>
    <n v="155"/>
    <s v="T-shirt"/>
    <s v="Accessories"/>
    <n v="18762"/>
    <n v="5"/>
    <x v="58"/>
    <s v="Bangalore"/>
    <n v="93810"/>
  </r>
  <r>
    <n v="156"/>
    <s v="Bag"/>
    <s v="Electronics"/>
    <n v="21149"/>
    <n v="3"/>
    <x v="88"/>
    <s v="Bangalore"/>
    <n v="63447"/>
  </r>
  <r>
    <n v="157"/>
    <s v="Watch"/>
    <s v="Fashion"/>
    <n v="38221"/>
    <n v="4"/>
    <x v="6"/>
    <s v="Delhi"/>
    <n v="152884"/>
  </r>
  <r>
    <n v="158"/>
    <s v="Headphones"/>
    <s v="Electronics"/>
    <n v="45108"/>
    <n v="3"/>
    <x v="22"/>
    <s v="Mumbai"/>
    <n v="135324"/>
  </r>
  <r>
    <n v="159"/>
    <s v="Laptop"/>
    <s v="Fashion"/>
    <n v="20025"/>
    <n v="1"/>
    <x v="18"/>
    <s v="Bangalore"/>
    <n v="20025"/>
  </r>
  <r>
    <n v="160"/>
    <s v="T-shirt"/>
    <s v="Electronics"/>
    <n v="27059"/>
    <n v="4"/>
    <x v="79"/>
    <s v="Chennai"/>
    <n v="108236"/>
  </r>
  <r>
    <n v="161"/>
    <s v="Watch"/>
    <s v="Electronics"/>
    <n v="38045"/>
    <n v="5"/>
    <x v="31"/>
    <s v="Delhi"/>
    <n v="190225"/>
  </r>
  <r>
    <n v="162"/>
    <s v="Headphones"/>
    <s v="Fashion"/>
    <n v="27692"/>
    <n v="1"/>
    <x v="28"/>
    <s v="Kolkata"/>
    <n v="27692"/>
  </r>
  <r>
    <n v="163"/>
    <s v="Bag"/>
    <s v="Accessories"/>
    <n v="21441"/>
    <n v="1"/>
    <x v="28"/>
    <s v="Mumbai"/>
    <n v="21441"/>
  </r>
  <r>
    <n v="164"/>
    <s v="T-shirt"/>
    <s v="Electronics"/>
    <n v="7703"/>
    <n v="3"/>
    <x v="73"/>
    <s v="Delhi"/>
    <n v="23109"/>
  </r>
  <r>
    <n v="165"/>
    <s v="T-shirt"/>
    <s v="Electronics"/>
    <n v="49561"/>
    <n v="4"/>
    <x v="61"/>
    <s v="Mumbai"/>
    <n v="198244"/>
  </r>
  <r>
    <n v="166"/>
    <s v="Bag"/>
    <s v="Fashion"/>
    <n v="6437"/>
    <n v="2"/>
    <x v="85"/>
    <s v="Mumbai"/>
    <n v="12874"/>
  </r>
  <r>
    <n v="167"/>
    <s v="Shoes"/>
    <s v="Accessories"/>
    <n v="41628"/>
    <n v="1"/>
    <x v="13"/>
    <s v="Kolkata"/>
    <n v="41628"/>
  </r>
  <r>
    <n v="168"/>
    <s v="Headphones"/>
    <s v="Electronics"/>
    <n v="49448"/>
    <n v="2"/>
    <x v="89"/>
    <s v="Bangalore"/>
    <n v="98896"/>
  </r>
  <r>
    <n v="169"/>
    <s v="Headphones"/>
    <s v="Fashion"/>
    <n v="29122"/>
    <n v="3"/>
    <x v="70"/>
    <s v="Mumbai"/>
    <n v="87366"/>
  </r>
  <r>
    <n v="170"/>
    <s v="Headphones"/>
    <s v="Fashion"/>
    <n v="2447"/>
    <n v="5"/>
    <x v="15"/>
    <s v="Chennai"/>
    <n v="12235"/>
  </r>
  <r>
    <n v="171"/>
    <s v="Laptop"/>
    <s v="Fashion"/>
    <n v="19452"/>
    <n v="1"/>
    <x v="73"/>
    <s v="Chennai"/>
    <n v="19452"/>
  </r>
  <r>
    <n v="172"/>
    <s v="Bag"/>
    <s v="Fashion"/>
    <n v="47731"/>
    <n v="5"/>
    <x v="90"/>
    <s v="Kolkata"/>
    <n v="238655"/>
  </r>
  <r>
    <n v="173"/>
    <s v="T-shirt"/>
    <s v="Fashion"/>
    <n v="1020"/>
    <n v="5"/>
    <x v="91"/>
    <s v="Mumbai"/>
    <n v="5100"/>
  </r>
  <r>
    <n v="174"/>
    <s v="T-shirt"/>
    <s v="Accessories"/>
    <n v="10752"/>
    <n v="3"/>
    <x v="41"/>
    <s v="Bangalore"/>
    <n v="32256"/>
  </r>
  <r>
    <n v="175"/>
    <s v="Watch"/>
    <s v="Accessories"/>
    <n v="1735"/>
    <n v="3"/>
    <x v="10"/>
    <s v="Delhi"/>
    <n v="5205"/>
  </r>
  <r>
    <n v="176"/>
    <s v="T-shirt"/>
    <s v="Fashion"/>
    <n v="32614"/>
    <n v="3"/>
    <x v="92"/>
    <s v="Bangalore"/>
    <n v="97842"/>
  </r>
  <r>
    <n v="177"/>
    <s v="T-shirt"/>
    <s v="Fashion"/>
    <n v="49753"/>
    <n v="1"/>
    <x v="93"/>
    <s v="Bangalore"/>
    <n v="49753"/>
  </r>
  <r>
    <n v="178"/>
    <s v="T-shirt"/>
    <s v="Accessories"/>
    <n v="15219"/>
    <n v="1"/>
    <x v="94"/>
    <s v="Mumbai"/>
    <n v="15219"/>
  </r>
  <r>
    <n v="179"/>
    <s v="T-shirt"/>
    <s v="Fashion"/>
    <n v="38280"/>
    <n v="4"/>
    <x v="95"/>
    <s v="Delhi"/>
    <n v="153120"/>
  </r>
  <r>
    <n v="180"/>
    <s v="Bag"/>
    <s v="Electronics"/>
    <n v="43681"/>
    <n v="1"/>
    <x v="96"/>
    <s v="Chennai"/>
    <n v="43681"/>
  </r>
  <r>
    <n v="181"/>
    <s v="Headphones"/>
    <s v="Fashion"/>
    <n v="22534"/>
    <n v="4"/>
    <x v="53"/>
    <s v="Delhi"/>
    <n v="90136"/>
  </r>
  <r>
    <n v="182"/>
    <s v="Laptop"/>
    <s v="Fashion"/>
    <n v="13342"/>
    <n v="5"/>
    <x v="97"/>
    <s v="Bangalore"/>
    <n v="66710"/>
  </r>
  <r>
    <n v="183"/>
    <s v="Headphones"/>
    <s v="Fashion"/>
    <n v="30800"/>
    <n v="3"/>
    <x v="7"/>
    <s v="Mumbai"/>
    <n v="92400"/>
  </r>
  <r>
    <n v="184"/>
    <s v="Headphones"/>
    <s v="Electronics"/>
    <n v="4461"/>
    <n v="5"/>
    <x v="98"/>
    <s v="Kolkata"/>
    <n v="22305"/>
  </r>
  <r>
    <n v="185"/>
    <s v="Headphones"/>
    <s v="Accessories"/>
    <n v="23115"/>
    <n v="1"/>
    <x v="99"/>
    <s v="Kolkata"/>
    <n v="23115"/>
  </r>
  <r>
    <n v="186"/>
    <s v="Bag"/>
    <s v="Fashion"/>
    <n v="12101"/>
    <n v="4"/>
    <x v="10"/>
    <s v="Chennai"/>
    <n v="48404"/>
  </r>
  <r>
    <n v="187"/>
    <s v="Watch"/>
    <s v="Electronics"/>
    <n v="18960"/>
    <n v="2"/>
    <x v="49"/>
    <s v="Chennai"/>
    <n v="37920"/>
  </r>
  <r>
    <n v="188"/>
    <s v="T-shirt"/>
    <s v="Electronics"/>
    <n v="47049"/>
    <n v="5"/>
    <x v="98"/>
    <s v="Mumbai"/>
    <n v="235245"/>
  </r>
  <r>
    <n v="189"/>
    <s v="Headphones"/>
    <s v="Electronics"/>
    <n v="17056"/>
    <n v="4"/>
    <x v="98"/>
    <s v="Delhi"/>
    <n v="68224"/>
  </r>
  <r>
    <n v="190"/>
    <s v="Headphones"/>
    <s v="Accessories"/>
    <n v="29706"/>
    <n v="4"/>
    <x v="92"/>
    <s v="Mumbai"/>
    <n v="118824"/>
  </r>
  <r>
    <n v="191"/>
    <s v="Laptop"/>
    <s v="Fashion"/>
    <n v="7439"/>
    <n v="2"/>
    <x v="37"/>
    <s v="Kolkata"/>
    <n v="14878"/>
  </r>
  <r>
    <n v="192"/>
    <s v="Laptop"/>
    <s v="Electronics"/>
    <n v="26501"/>
    <n v="5"/>
    <x v="91"/>
    <s v="Mumbai"/>
    <n v="132505"/>
  </r>
  <r>
    <n v="193"/>
    <s v="Shoes"/>
    <s v="Electronics"/>
    <n v="25867"/>
    <n v="4"/>
    <x v="41"/>
    <s v="Bangalore"/>
    <n v="103468"/>
  </r>
  <r>
    <n v="194"/>
    <s v="T-shirt"/>
    <s v="Fashion"/>
    <n v="26830"/>
    <n v="3"/>
    <x v="31"/>
    <s v="Kolkata"/>
    <n v="80490"/>
  </r>
  <r>
    <n v="195"/>
    <s v="Bag"/>
    <s v="Accessories"/>
    <n v="5647"/>
    <n v="3"/>
    <x v="100"/>
    <s v="Kolkata"/>
    <n v="16941"/>
  </r>
  <r>
    <n v="196"/>
    <s v="Shoes"/>
    <s v="Accessories"/>
    <n v="36068"/>
    <n v="1"/>
    <x v="32"/>
    <s v="Mumbai"/>
    <n v="36068"/>
  </r>
  <r>
    <n v="197"/>
    <s v="Laptop"/>
    <s v="Fashion"/>
    <n v="18163"/>
    <n v="5"/>
    <x v="14"/>
    <s v="Delhi"/>
    <n v="90815"/>
  </r>
  <r>
    <n v="198"/>
    <s v="T-shirt"/>
    <s v="Accessories"/>
    <n v="11703"/>
    <n v="5"/>
    <x v="101"/>
    <s v="Kolkata"/>
    <n v="58515"/>
  </r>
  <r>
    <n v="199"/>
    <s v="T-shirt"/>
    <s v="Fashion"/>
    <n v="32393"/>
    <n v="5"/>
    <x v="102"/>
    <s v="Mumbai"/>
    <n v="161965"/>
  </r>
  <r>
    <n v="200"/>
    <s v="Shoes"/>
    <s v="Accessories"/>
    <n v="28449"/>
    <n v="5"/>
    <x v="97"/>
    <s v="Kolkata"/>
    <n v="142245"/>
  </r>
  <r>
    <n v="201"/>
    <s v="Laptop"/>
    <s v="Electronics"/>
    <n v="22591"/>
    <n v="2"/>
    <x v="40"/>
    <s v="Mumbai"/>
    <n v="45182"/>
  </r>
  <r>
    <n v="202"/>
    <s v="Laptop"/>
    <s v="Fashion"/>
    <n v="33971"/>
    <n v="1"/>
    <x v="23"/>
    <s v="Kolkata"/>
    <n v="33971"/>
  </r>
  <r>
    <n v="203"/>
    <s v="T-shirt"/>
    <s v="Electronics"/>
    <n v="15173"/>
    <n v="5"/>
    <x v="49"/>
    <s v="Mumbai"/>
    <n v="75865"/>
  </r>
  <r>
    <n v="204"/>
    <s v="Laptop"/>
    <s v="Accessories"/>
    <n v="31008"/>
    <n v="2"/>
    <x v="57"/>
    <s v="Chennai"/>
    <n v="62016"/>
  </r>
  <r>
    <n v="205"/>
    <s v="Watch"/>
    <s v="Accessories"/>
    <n v="8948"/>
    <n v="3"/>
    <x v="87"/>
    <s v="Chennai"/>
    <n v="26844"/>
  </r>
  <r>
    <n v="206"/>
    <s v="Laptop"/>
    <s v="Fashion"/>
    <n v="37061"/>
    <n v="1"/>
    <x v="63"/>
    <s v="Kolkata"/>
    <n v="37061"/>
  </r>
  <r>
    <n v="207"/>
    <s v="T-shirt"/>
    <s v="Fashion"/>
    <n v="47931"/>
    <n v="1"/>
    <x v="16"/>
    <s v="Mumbai"/>
    <n v="47931"/>
  </r>
  <r>
    <n v="208"/>
    <s v="Laptop"/>
    <s v="Fashion"/>
    <n v="36966"/>
    <n v="3"/>
    <x v="36"/>
    <s v="Bangalore"/>
    <n v="110898"/>
  </r>
  <r>
    <n v="209"/>
    <s v="Headphones"/>
    <s v="Accessories"/>
    <n v="23886"/>
    <n v="2"/>
    <x v="50"/>
    <s v="Bangalore"/>
    <n v="47772"/>
  </r>
  <r>
    <n v="210"/>
    <s v="Laptop"/>
    <s v="Accessories"/>
    <n v="21208"/>
    <n v="3"/>
    <x v="99"/>
    <s v="Kolkata"/>
    <n v="63624"/>
  </r>
  <r>
    <n v="211"/>
    <s v="Bag"/>
    <s v="Fashion"/>
    <n v="49473"/>
    <n v="5"/>
    <x v="5"/>
    <s v="Bangalore"/>
    <n v="247365"/>
  </r>
  <r>
    <n v="212"/>
    <s v="T-shirt"/>
    <s v="Accessories"/>
    <n v="42117"/>
    <n v="4"/>
    <x v="53"/>
    <s v="Delhi"/>
    <n v="168468"/>
  </r>
  <r>
    <n v="213"/>
    <s v="Bag"/>
    <s v="Electronics"/>
    <n v="29545"/>
    <n v="2"/>
    <x v="103"/>
    <s v="Delhi"/>
    <n v="59090"/>
  </r>
  <r>
    <n v="214"/>
    <s v="Headphones"/>
    <s v="Accessories"/>
    <n v="5591"/>
    <n v="3"/>
    <x v="42"/>
    <s v="Chennai"/>
    <n v="16773"/>
  </r>
  <r>
    <n v="215"/>
    <s v="T-shirt"/>
    <s v="Accessories"/>
    <n v="11072"/>
    <n v="2"/>
    <x v="80"/>
    <s v="Delhi"/>
    <n v="22144"/>
  </r>
  <r>
    <n v="216"/>
    <s v="Laptop"/>
    <s v="Fashion"/>
    <n v="4661"/>
    <n v="5"/>
    <x v="61"/>
    <s v="Delhi"/>
    <n v="23305"/>
  </r>
  <r>
    <n v="217"/>
    <s v="Watch"/>
    <s v="Accessories"/>
    <n v="1767"/>
    <n v="5"/>
    <x v="47"/>
    <s v="Mumbai"/>
    <n v="8835"/>
  </r>
  <r>
    <n v="218"/>
    <s v="Laptop"/>
    <s v="Electronics"/>
    <n v="3637"/>
    <n v="4"/>
    <x v="1"/>
    <s v="Bangalore"/>
    <n v="14548"/>
  </r>
  <r>
    <n v="219"/>
    <s v="T-shirt"/>
    <s v="Accessories"/>
    <n v="45874"/>
    <n v="5"/>
    <x v="37"/>
    <s v="Mumbai"/>
    <n v="229370"/>
  </r>
  <r>
    <n v="220"/>
    <s v="Laptop"/>
    <s v="Electronics"/>
    <n v="10309"/>
    <n v="1"/>
    <x v="47"/>
    <s v="Bangalore"/>
    <n v="10309"/>
  </r>
  <r>
    <n v="221"/>
    <s v="Watch"/>
    <s v="Accessories"/>
    <n v="40485"/>
    <n v="2"/>
    <x v="28"/>
    <s v="Kolkata"/>
    <n v="80970"/>
  </r>
  <r>
    <n v="222"/>
    <s v="Shoes"/>
    <s v="Accessories"/>
    <n v="24366"/>
    <n v="4"/>
    <x v="43"/>
    <s v="Kolkata"/>
    <n v="97464"/>
  </r>
  <r>
    <n v="223"/>
    <s v="Laptop"/>
    <s v="Electronics"/>
    <n v="29507"/>
    <n v="4"/>
    <x v="33"/>
    <s v="Mumbai"/>
    <n v="118028"/>
  </r>
  <r>
    <n v="224"/>
    <s v="Bag"/>
    <s v="Fashion"/>
    <n v="14290"/>
    <n v="5"/>
    <x v="43"/>
    <s v="Bangalore"/>
    <n v="71450"/>
  </r>
  <r>
    <n v="225"/>
    <s v="T-shirt"/>
    <s v="Accessories"/>
    <n v="14417"/>
    <n v="3"/>
    <x v="45"/>
    <s v="Delhi"/>
    <n v="43251"/>
  </r>
  <r>
    <n v="226"/>
    <s v="Headphones"/>
    <s v="Electronics"/>
    <n v="23952"/>
    <n v="1"/>
    <x v="13"/>
    <s v="Bangalore"/>
    <n v="23952"/>
  </r>
  <r>
    <n v="227"/>
    <s v="Bag"/>
    <s v="Fashion"/>
    <n v="37403"/>
    <n v="4"/>
    <x v="13"/>
    <s v="Mumbai"/>
    <n v="149612"/>
  </r>
  <r>
    <n v="228"/>
    <s v="Headphones"/>
    <s v="Electronics"/>
    <n v="32934"/>
    <n v="5"/>
    <x v="73"/>
    <s v="Kolkata"/>
    <n v="164670"/>
  </r>
  <r>
    <n v="229"/>
    <s v="Watch"/>
    <s v="Fashion"/>
    <n v="29744"/>
    <n v="1"/>
    <x v="69"/>
    <s v="Delhi"/>
    <n v="29744"/>
  </r>
  <r>
    <n v="230"/>
    <s v="Watch"/>
    <s v="Accessories"/>
    <n v="46163"/>
    <n v="4"/>
    <x v="74"/>
    <s v="Bangalore"/>
    <n v="184652"/>
  </r>
  <r>
    <n v="231"/>
    <s v="Headphones"/>
    <s v="Fashion"/>
    <n v="27724"/>
    <n v="5"/>
    <x v="62"/>
    <s v="Kolkata"/>
    <n v="138620"/>
  </r>
  <r>
    <n v="232"/>
    <s v="T-shirt"/>
    <s v="Electronics"/>
    <n v="17403"/>
    <n v="1"/>
    <x v="36"/>
    <s v="Chennai"/>
    <n v="17403"/>
  </r>
  <r>
    <n v="233"/>
    <s v="T-shirt"/>
    <s v="Accessories"/>
    <n v="37242"/>
    <n v="4"/>
    <x v="30"/>
    <s v="Kolkata"/>
    <n v="148968"/>
  </r>
  <r>
    <n v="234"/>
    <s v="Shoes"/>
    <s v="Accessories"/>
    <n v="35850"/>
    <n v="5"/>
    <x v="93"/>
    <s v="Bangalore"/>
    <n v="179250"/>
  </r>
  <r>
    <n v="235"/>
    <s v="Laptop"/>
    <s v="Fashion"/>
    <n v="48281"/>
    <n v="4"/>
    <x v="69"/>
    <s v="Kolkata"/>
    <n v="193124"/>
  </r>
  <r>
    <n v="236"/>
    <s v="Shoes"/>
    <s v="Electronics"/>
    <n v="11994"/>
    <n v="1"/>
    <x v="55"/>
    <s v="Mumbai"/>
    <n v="11994"/>
  </r>
  <r>
    <n v="237"/>
    <s v="T-shirt"/>
    <s v="Electronics"/>
    <n v="3546"/>
    <n v="1"/>
    <x v="35"/>
    <s v="Delhi"/>
    <n v="3546"/>
  </r>
  <r>
    <n v="238"/>
    <s v="Shoes"/>
    <s v="Accessories"/>
    <n v="16665"/>
    <n v="1"/>
    <x v="102"/>
    <s v="Chennai"/>
    <n v="16665"/>
  </r>
  <r>
    <n v="239"/>
    <s v="T-shirt"/>
    <s v="Fashion"/>
    <n v="39398"/>
    <n v="5"/>
    <x v="82"/>
    <s v="Delhi"/>
    <n v="196990"/>
  </r>
  <r>
    <n v="240"/>
    <s v="T-shirt"/>
    <s v="Electronics"/>
    <n v="48958"/>
    <n v="4"/>
    <x v="104"/>
    <s v="Bangalore"/>
    <n v="195832"/>
  </r>
  <r>
    <n v="241"/>
    <s v="Headphones"/>
    <s v="Electronics"/>
    <n v="34855"/>
    <n v="5"/>
    <x v="69"/>
    <s v="Kolkata"/>
    <n v="174275"/>
  </r>
  <r>
    <n v="242"/>
    <s v="Headphones"/>
    <s v="Accessories"/>
    <n v="43870"/>
    <n v="5"/>
    <x v="86"/>
    <s v="Delhi"/>
    <n v="219350"/>
  </r>
  <r>
    <n v="243"/>
    <s v="Shoes"/>
    <s v="Electronics"/>
    <n v="3896"/>
    <n v="2"/>
    <x v="8"/>
    <s v="Chennai"/>
    <n v="7792"/>
  </r>
  <r>
    <n v="244"/>
    <s v="Headphones"/>
    <s v="Electronics"/>
    <n v="20406"/>
    <n v="1"/>
    <x v="63"/>
    <s v="Bangalore"/>
    <n v="20406"/>
  </r>
  <r>
    <n v="245"/>
    <s v="Laptop"/>
    <s v="Electronics"/>
    <n v="44942"/>
    <n v="1"/>
    <x v="24"/>
    <s v="Chennai"/>
    <n v="44942"/>
  </r>
  <r>
    <n v="246"/>
    <s v="Bag"/>
    <s v="Electronics"/>
    <n v="16433"/>
    <n v="3"/>
    <x v="43"/>
    <s v="Delhi"/>
    <n v="49299"/>
  </r>
  <r>
    <n v="247"/>
    <s v="Shoes"/>
    <s v="Accessories"/>
    <n v="25323"/>
    <n v="5"/>
    <x v="31"/>
    <s v="Kolkata"/>
    <n v="126615"/>
  </r>
  <r>
    <n v="248"/>
    <s v="Shoes"/>
    <s v="Fashion"/>
    <n v="13963"/>
    <n v="2"/>
    <x v="40"/>
    <s v="Delhi"/>
    <n v="27926"/>
  </r>
  <r>
    <n v="249"/>
    <s v="Shoes"/>
    <s v="Electronics"/>
    <n v="17685"/>
    <n v="2"/>
    <x v="15"/>
    <s v="Delhi"/>
    <n v="35370"/>
  </r>
  <r>
    <n v="250"/>
    <s v="T-shirt"/>
    <s v="Accessories"/>
    <n v="26422"/>
    <n v="3"/>
    <x v="34"/>
    <s v="Delhi"/>
    <n v="79266"/>
  </r>
  <r>
    <n v="251"/>
    <s v="T-shirt"/>
    <s v="Accessories"/>
    <n v="3573"/>
    <n v="2"/>
    <x v="39"/>
    <s v="Delhi"/>
    <n v="7146"/>
  </r>
  <r>
    <n v="252"/>
    <s v="Headphones"/>
    <s v="Accessories"/>
    <n v="19066"/>
    <n v="3"/>
    <x v="4"/>
    <s v="Delhi"/>
    <n v="57198"/>
  </r>
  <r>
    <n v="253"/>
    <s v="Watch"/>
    <s v="Fashion"/>
    <n v="42809"/>
    <n v="3"/>
    <x v="101"/>
    <s v="Mumbai"/>
    <n v="128427"/>
  </r>
  <r>
    <n v="254"/>
    <s v="Bag"/>
    <s v="Accessories"/>
    <n v="10406"/>
    <n v="2"/>
    <x v="58"/>
    <s v="Bangalore"/>
    <n v="20812"/>
  </r>
  <r>
    <n v="255"/>
    <s v="T-shirt"/>
    <s v="Fashion"/>
    <n v="47408"/>
    <n v="1"/>
    <x v="3"/>
    <s v="Mumbai"/>
    <n v="47408"/>
  </r>
  <r>
    <n v="256"/>
    <s v="Headphones"/>
    <s v="Electronics"/>
    <n v="48273"/>
    <n v="2"/>
    <x v="92"/>
    <s v="Bangalore"/>
    <n v="96546"/>
  </r>
  <r>
    <n v="257"/>
    <s v="Laptop"/>
    <s v="Electronics"/>
    <n v="40954"/>
    <n v="4"/>
    <x v="105"/>
    <s v="Bangalore"/>
    <n v="163816"/>
  </r>
  <r>
    <n v="258"/>
    <s v="Laptop"/>
    <s v="Fashion"/>
    <n v="32051"/>
    <n v="5"/>
    <x v="11"/>
    <s v="Chennai"/>
    <n v="160255"/>
  </r>
  <r>
    <n v="259"/>
    <s v="Headphones"/>
    <s v="Fashion"/>
    <n v="2771"/>
    <n v="1"/>
    <x v="14"/>
    <s v="Bangalore"/>
    <n v="2771"/>
  </r>
  <r>
    <n v="260"/>
    <s v="Watch"/>
    <s v="Fashion"/>
    <n v="41795"/>
    <n v="4"/>
    <x v="99"/>
    <s v="Mumbai"/>
    <n v="167180"/>
  </r>
  <r>
    <n v="261"/>
    <s v="Bag"/>
    <s v="Fashion"/>
    <n v="26847"/>
    <n v="2"/>
    <x v="66"/>
    <s v="Bangalore"/>
    <n v="53694"/>
  </r>
  <r>
    <n v="262"/>
    <s v="Watch"/>
    <s v="Electronics"/>
    <n v="24930"/>
    <n v="1"/>
    <x v="24"/>
    <s v="Kolkata"/>
    <n v="24930"/>
  </r>
  <r>
    <n v="263"/>
    <s v="Laptop"/>
    <s v="Electronics"/>
    <n v="6935"/>
    <n v="3"/>
    <x v="53"/>
    <s v="Kolkata"/>
    <n v="20805"/>
  </r>
  <r>
    <n v="264"/>
    <s v="T-shirt"/>
    <s v="Fashion"/>
    <n v="9771"/>
    <n v="3"/>
    <x v="70"/>
    <s v="Bangalore"/>
    <n v="29313"/>
  </r>
  <r>
    <n v="265"/>
    <s v="Laptop"/>
    <s v="Accessories"/>
    <n v="45477"/>
    <n v="1"/>
    <x v="81"/>
    <s v="Delhi"/>
    <n v="45477"/>
  </r>
  <r>
    <n v="266"/>
    <s v="Shoes"/>
    <s v="Fashion"/>
    <n v="42222"/>
    <n v="3"/>
    <x v="90"/>
    <s v="Delhi"/>
    <n v="126666"/>
  </r>
  <r>
    <n v="267"/>
    <s v="Laptop"/>
    <s v="Accessories"/>
    <n v="33646"/>
    <n v="1"/>
    <x v="55"/>
    <s v="Bangalore"/>
    <n v="33646"/>
  </r>
  <r>
    <n v="268"/>
    <s v="Laptop"/>
    <s v="Fashion"/>
    <n v="7059"/>
    <n v="5"/>
    <x v="97"/>
    <s v="Mumbai"/>
    <n v="35295"/>
  </r>
  <r>
    <n v="269"/>
    <s v="Watch"/>
    <s v="Accessories"/>
    <n v="5859"/>
    <n v="5"/>
    <x v="20"/>
    <s v="Kolkata"/>
    <n v="29295"/>
  </r>
  <r>
    <n v="270"/>
    <s v="Bag"/>
    <s v="Accessories"/>
    <n v="37704"/>
    <n v="3"/>
    <x v="103"/>
    <s v="Chennai"/>
    <n v="113112"/>
  </r>
  <r>
    <n v="271"/>
    <s v="Headphones"/>
    <s v="Accessories"/>
    <n v="7486"/>
    <n v="3"/>
    <x v="96"/>
    <s v="Chennai"/>
    <n v="22458"/>
  </r>
  <r>
    <n v="272"/>
    <s v="Shoes"/>
    <s v="Electronics"/>
    <n v="36813"/>
    <n v="1"/>
    <x v="76"/>
    <s v="Mumbai"/>
    <n v="36813"/>
  </r>
  <r>
    <n v="273"/>
    <s v="Headphones"/>
    <s v="Fashion"/>
    <n v="44014"/>
    <n v="1"/>
    <x v="34"/>
    <s v="Kolkata"/>
    <n v="44014"/>
  </r>
  <r>
    <n v="274"/>
    <s v="T-shirt"/>
    <s v="Accessories"/>
    <n v="5708"/>
    <n v="4"/>
    <x v="104"/>
    <s v="Kolkata"/>
    <n v="22832"/>
  </r>
  <r>
    <n v="275"/>
    <s v="Laptop"/>
    <s v="Fashion"/>
    <n v="19957"/>
    <n v="4"/>
    <x v="17"/>
    <s v="Delhi"/>
    <n v="79828"/>
  </r>
  <r>
    <n v="276"/>
    <s v="Laptop"/>
    <s v="Electronics"/>
    <n v="41421"/>
    <n v="3"/>
    <x v="2"/>
    <s v="Kolkata"/>
    <n v="124263"/>
  </r>
  <r>
    <n v="277"/>
    <s v="Laptop"/>
    <s v="Fashion"/>
    <n v="31975"/>
    <n v="1"/>
    <x v="57"/>
    <s v="Delhi"/>
    <n v="31975"/>
  </r>
  <r>
    <n v="278"/>
    <s v="Bag"/>
    <s v="Electronics"/>
    <n v="36362"/>
    <n v="1"/>
    <x v="38"/>
    <s v="Delhi"/>
    <n v="36362"/>
  </r>
  <r>
    <n v="279"/>
    <s v="T-shirt"/>
    <s v="Fashion"/>
    <n v="43076"/>
    <n v="2"/>
    <x v="106"/>
    <s v="Mumbai"/>
    <n v="86152"/>
  </r>
  <r>
    <n v="280"/>
    <s v="Laptop"/>
    <s v="Electronics"/>
    <n v="48714"/>
    <n v="1"/>
    <x v="107"/>
    <s v="Mumbai"/>
    <n v="48714"/>
  </r>
  <r>
    <n v="281"/>
    <s v="Shoes"/>
    <s v="Electronics"/>
    <n v="41089"/>
    <n v="3"/>
    <x v="20"/>
    <s v="Kolkata"/>
    <n v="123267"/>
  </r>
  <r>
    <n v="282"/>
    <s v="Bag"/>
    <s v="Fashion"/>
    <n v="16581"/>
    <n v="5"/>
    <x v="101"/>
    <s v="Chennai"/>
    <n v="82905"/>
  </r>
  <r>
    <n v="283"/>
    <s v="Watch"/>
    <s v="Accessories"/>
    <n v="29659"/>
    <n v="4"/>
    <x v="97"/>
    <s v="Kolkata"/>
    <n v="118636"/>
  </r>
  <r>
    <n v="284"/>
    <s v="Shoes"/>
    <s v="Fashion"/>
    <n v="1383"/>
    <n v="5"/>
    <x v="14"/>
    <s v="Bangalore"/>
    <n v="6915"/>
  </r>
  <r>
    <n v="285"/>
    <s v="Shoes"/>
    <s v="Fashion"/>
    <n v="31713"/>
    <n v="1"/>
    <x v="6"/>
    <s v="Kolkata"/>
    <n v="31713"/>
  </r>
  <r>
    <n v="286"/>
    <s v="Bag"/>
    <s v="Fashion"/>
    <n v="46823"/>
    <n v="1"/>
    <x v="44"/>
    <s v="Kolkata"/>
    <n v="46823"/>
  </r>
  <r>
    <n v="287"/>
    <s v="Laptop"/>
    <s v="Accessories"/>
    <n v="8708"/>
    <n v="1"/>
    <x v="106"/>
    <s v="Bangalore"/>
    <n v="8708"/>
  </r>
  <r>
    <n v="288"/>
    <s v="Watch"/>
    <s v="Fashion"/>
    <n v="45809"/>
    <n v="5"/>
    <x v="101"/>
    <s v="Kolkata"/>
    <n v="229045"/>
  </r>
  <r>
    <n v="289"/>
    <s v="Shoes"/>
    <s v="Accessories"/>
    <n v="39952"/>
    <n v="4"/>
    <x v="96"/>
    <s v="Delhi"/>
    <n v="159808"/>
  </r>
  <r>
    <n v="290"/>
    <s v="Headphones"/>
    <s v="Electronics"/>
    <n v="40515"/>
    <n v="3"/>
    <x v="99"/>
    <s v="Mumbai"/>
    <n v="121545"/>
  </r>
  <r>
    <n v="291"/>
    <s v="Headphones"/>
    <s v="Fashion"/>
    <n v="25975"/>
    <n v="2"/>
    <x v="30"/>
    <s v="Kolkata"/>
    <n v="51950"/>
  </r>
  <r>
    <n v="292"/>
    <s v="Watch"/>
    <s v="Electronics"/>
    <n v="42204"/>
    <n v="5"/>
    <x v="67"/>
    <s v="Chennai"/>
    <n v="211020"/>
  </r>
  <r>
    <n v="293"/>
    <s v="T-shirt"/>
    <s v="Fashion"/>
    <n v="42265"/>
    <n v="1"/>
    <x v="106"/>
    <s v="Mumbai"/>
    <n v="42265"/>
  </r>
  <r>
    <n v="294"/>
    <s v="Watch"/>
    <s v="Electronics"/>
    <n v="5037"/>
    <n v="4"/>
    <x v="84"/>
    <s v="Mumbai"/>
    <n v="20148"/>
  </r>
  <r>
    <n v="295"/>
    <s v="T-shirt"/>
    <s v="Fashion"/>
    <n v="14109"/>
    <n v="4"/>
    <x v="108"/>
    <s v="Chennai"/>
    <n v="56436"/>
  </r>
  <r>
    <n v="296"/>
    <s v="Watch"/>
    <s v="Fashion"/>
    <n v="16929"/>
    <n v="4"/>
    <x v="109"/>
    <s v="Kolkata"/>
    <n v="67716"/>
  </r>
  <r>
    <n v="297"/>
    <s v="Shoes"/>
    <s v="Electronics"/>
    <n v="13441"/>
    <n v="3"/>
    <x v="100"/>
    <s v="Bangalore"/>
    <n v="40323"/>
  </r>
  <r>
    <n v="298"/>
    <s v="T-shirt"/>
    <s v="Accessories"/>
    <n v="38016"/>
    <n v="4"/>
    <x v="73"/>
    <s v="Mumbai"/>
    <n v="152064"/>
  </r>
  <r>
    <n v="299"/>
    <s v="Watch"/>
    <s v="Electronics"/>
    <n v="41337"/>
    <n v="1"/>
    <x v="61"/>
    <s v="Kolkata"/>
    <n v="41337"/>
  </r>
  <r>
    <n v="300"/>
    <s v="Shoes"/>
    <s v="Electronics"/>
    <n v="22561"/>
    <n v="5"/>
    <x v="60"/>
    <s v="Kolkata"/>
    <n v="1128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12DCD9-4D18-4D99-A578-64B719B472CF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7" firstHeaderRow="1" firstDataRow="1" firstDataCol="1"/>
  <pivotFields count="8">
    <pivotField showAll="0"/>
    <pivotField showAll="0"/>
    <pivotField axis="axisRow" showAll="0" sortType="ascending">
      <items count="4">
        <item x="2"/>
        <item x="0"/>
        <item x="1"/>
        <item t="default"/>
      </items>
    </pivotField>
    <pivotField showAll="0"/>
    <pivotField showAll="0"/>
    <pivotField showAll="0">
      <items count="118">
        <item x="35"/>
        <item x="88"/>
        <item x="28"/>
        <item x="51"/>
        <item x="68"/>
        <item x="54"/>
        <item x="105"/>
        <item x="84"/>
        <item x="81"/>
        <item x="34"/>
        <item x="60"/>
        <item x="61"/>
        <item x="6"/>
        <item x="69"/>
        <item x="100"/>
        <item x="13"/>
        <item x="26"/>
        <item x="2"/>
        <item x="50"/>
        <item x="55"/>
        <item x="48"/>
        <item x="64"/>
        <item x="97"/>
        <item x="77"/>
        <item x="101"/>
        <item x="73"/>
        <item x="7"/>
        <item x="4"/>
        <item x="74"/>
        <item x="62"/>
        <item x="18"/>
        <item x="99"/>
        <item x="20"/>
        <item x="108"/>
        <item x="104"/>
        <item x="14"/>
        <item x="15"/>
        <item x="87"/>
        <item x="79"/>
        <item x="107"/>
        <item x="49"/>
        <item x="102"/>
        <item x="22"/>
        <item x="47"/>
        <item x="21"/>
        <item x="44"/>
        <item x="43"/>
        <item x="36"/>
        <item x="78"/>
        <item x="1"/>
        <item x="70"/>
        <item x="3"/>
        <item x="83"/>
        <item x="46"/>
        <item x="37"/>
        <item x="66"/>
        <item x="19"/>
        <item x="33"/>
        <item x="57"/>
        <item x="67"/>
        <item x="96"/>
        <item x="23"/>
        <item x="106"/>
        <item x="30"/>
        <item x="80"/>
        <item x="32"/>
        <item x="59"/>
        <item x="53"/>
        <item x="45"/>
        <item x="31"/>
        <item x="92"/>
        <item x="52"/>
        <item x="25"/>
        <item x="95"/>
        <item x="39"/>
        <item x="41"/>
        <item x="91"/>
        <item x="24"/>
        <item x="65"/>
        <item x="76"/>
        <item x="9"/>
        <item x="94"/>
        <item x="75"/>
        <item x="98"/>
        <item x="71"/>
        <item x="16"/>
        <item x="103"/>
        <item x="42"/>
        <item x="86"/>
        <item x="10"/>
        <item x="8"/>
        <item x="58"/>
        <item x="93"/>
        <item x="17"/>
        <item x="11"/>
        <item x="40"/>
        <item x="109"/>
        <item x="89"/>
        <item x="38"/>
        <item x="5"/>
        <item x="63"/>
        <item x="56"/>
        <item x="27"/>
        <item x="0"/>
        <item x="85"/>
        <item x="82"/>
        <item x="90"/>
        <item x="72"/>
        <item x="29"/>
        <item x="12"/>
        <item f="1" x="110"/>
        <item f="1" x="111"/>
        <item f="1" x="112"/>
        <item f="1" x="113"/>
        <item f="1" x="114"/>
        <item f="1" x="115"/>
        <item f="1" x="116"/>
        <item t="default"/>
      </items>
    </pivotField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7" baseField="0" baseItem="0"/>
  </dataField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6FE54-B98B-41AD-8E1D-999C7EE162F1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8">
    <pivotField showAll="0"/>
    <pivotField showAll="0"/>
    <pivotField showAll="0"/>
    <pivotField showAll="0"/>
    <pivotField showAll="0"/>
    <pivotField showAll="0">
      <items count="118">
        <item x="35"/>
        <item x="88"/>
        <item x="28"/>
        <item x="51"/>
        <item x="68"/>
        <item x="54"/>
        <item x="105"/>
        <item x="84"/>
        <item x="81"/>
        <item x="34"/>
        <item x="60"/>
        <item x="61"/>
        <item x="6"/>
        <item x="69"/>
        <item x="100"/>
        <item x="13"/>
        <item x="26"/>
        <item x="2"/>
        <item x="50"/>
        <item x="55"/>
        <item x="48"/>
        <item x="64"/>
        <item x="97"/>
        <item x="77"/>
        <item x="101"/>
        <item x="73"/>
        <item x="7"/>
        <item x="4"/>
        <item x="74"/>
        <item x="62"/>
        <item x="18"/>
        <item x="99"/>
        <item x="20"/>
        <item x="108"/>
        <item x="104"/>
        <item x="14"/>
        <item x="15"/>
        <item x="87"/>
        <item x="79"/>
        <item x="107"/>
        <item x="49"/>
        <item x="102"/>
        <item x="22"/>
        <item x="47"/>
        <item x="21"/>
        <item x="44"/>
        <item x="43"/>
        <item x="36"/>
        <item x="78"/>
        <item x="1"/>
        <item x="70"/>
        <item x="3"/>
        <item x="83"/>
        <item x="46"/>
        <item x="37"/>
        <item x="66"/>
        <item x="19"/>
        <item x="33"/>
        <item x="57"/>
        <item x="67"/>
        <item x="96"/>
        <item x="23"/>
        <item x="106"/>
        <item x="30"/>
        <item x="80"/>
        <item x="32"/>
        <item x="59"/>
        <item x="53"/>
        <item x="45"/>
        <item x="31"/>
        <item x="92"/>
        <item x="52"/>
        <item x="25"/>
        <item x="95"/>
        <item x="39"/>
        <item x="41"/>
        <item x="91"/>
        <item x="24"/>
        <item x="65"/>
        <item x="76"/>
        <item x="9"/>
        <item x="94"/>
        <item x="75"/>
        <item x="98"/>
        <item x="71"/>
        <item x="16"/>
        <item x="103"/>
        <item x="42"/>
        <item x="86"/>
        <item x="10"/>
        <item x="8"/>
        <item x="58"/>
        <item x="93"/>
        <item x="17"/>
        <item x="11"/>
        <item x="40"/>
        <item x="109"/>
        <item x="89"/>
        <item x="38"/>
        <item x="5"/>
        <item x="63"/>
        <item x="56"/>
        <item x="27"/>
        <item x="0"/>
        <item x="85"/>
        <item x="82"/>
        <item x="90"/>
        <item x="72"/>
        <item x="29"/>
        <item x="12"/>
        <item f="1" x="110"/>
        <item f="1" x="111"/>
        <item f="1" x="112"/>
        <item f="1" x="113"/>
        <item f="1" x="114"/>
        <item f="1" x="115"/>
        <item f="1" x="116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dataField="1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7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79FB6E-973F-4C81-BC24-2FFC48DEF6AC}" name="PivotTable11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118" firstHeaderRow="1" firstDataRow="1" firstDataCol="1"/>
  <pivotFields count="10">
    <pivotField showAll="0"/>
    <pivotField showAll="0"/>
    <pivotField showAll="0"/>
    <pivotField showAll="0"/>
    <pivotField showAll="0"/>
    <pivotField axis="axisRow" numFmtId="15" showAll="0">
      <items count="111">
        <item x="54"/>
        <item x="34"/>
        <item x="6"/>
        <item x="13"/>
        <item x="50"/>
        <item x="73"/>
        <item x="62"/>
        <item x="108"/>
        <item x="87"/>
        <item x="49"/>
        <item x="21"/>
        <item x="3"/>
        <item x="66"/>
        <item x="67"/>
        <item x="59"/>
        <item x="92"/>
        <item x="39"/>
        <item x="24"/>
        <item x="94"/>
        <item x="16"/>
        <item x="10"/>
        <item x="93"/>
        <item x="109"/>
        <item x="63"/>
        <item x="85"/>
        <item x="29"/>
        <item x="88"/>
        <item x="68"/>
        <item x="81"/>
        <item x="100"/>
        <item x="64"/>
        <item x="101"/>
        <item x="74"/>
        <item x="20"/>
        <item x="15"/>
        <item x="107"/>
        <item x="47"/>
        <item x="36"/>
        <item x="70"/>
        <item x="37"/>
        <item x="57"/>
        <item x="106"/>
        <item x="32"/>
        <item x="31"/>
        <item x="95"/>
        <item x="9"/>
        <item x="71"/>
        <item x="86"/>
        <item x="58"/>
        <item x="40"/>
        <item x="5"/>
        <item x="0"/>
        <item x="28"/>
        <item x="105"/>
        <item x="60"/>
        <item x="26"/>
        <item x="55"/>
        <item x="97"/>
        <item x="7"/>
        <item x="18"/>
        <item x="104"/>
        <item x="79"/>
        <item x="102"/>
        <item x="44"/>
        <item x="78"/>
        <item x="83"/>
        <item x="19"/>
        <item x="96"/>
        <item x="30"/>
        <item x="53"/>
        <item x="52"/>
        <item x="41"/>
        <item x="65"/>
        <item x="75"/>
        <item x="103"/>
        <item x="17"/>
        <item x="89"/>
        <item x="56"/>
        <item x="82"/>
        <item x="72"/>
        <item x="12"/>
        <item x="35"/>
        <item x="51"/>
        <item x="84"/>
        <item x="61"/>
        <item x="69"/>
        <item x="2"/>
        <item x="48"/>
        <item x="77"/>
        <item x="4"/>
        <item x="99"/>
        <item x="14"/>
        <item x="22"/>
        <item x="43"/>
        <item x="1"/>
        <item x="46"/>
        <item x="33"/>
        <item x="23"/>
        <item x="80"/>
        <item x="45"/>
        <item x="25"/>
        <item x="91"/>
        <item x="76"/>
        <item x="98"/>
        <item x="42"/>
        <item x="8"/>
        <item x="11"/>
        <item x="38"/>
        <item x="27"/>
        <item x="90"/>
        <item t="default"/>
      </items>
    </pivotField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9"/>
    <field x="8"/>
    <field x="5"/>
  </rowFields>
  <rowItems count="115">
    <i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>
      <x v="2"/>
    </i>
    <i r="1">
      <x v="32"/>
    </i>
    <i r="1">
      <x v="33"/>
    </i>
    <i r="1">
      <x v="34"/>
    </i>
    <i r="1">
      <x v="36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>
      <x v="3"/>
    </i>
    <i r="1">
      <x v="61"/>
    </i>
    <i r="1">
      <x v="62"/>
    </i>
    <i r="1">
      <x v="63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6"/>
    </i>
    <i r="1">
      <x v="87"/>
    </i>
    <i r="1">
      <x v="88"/>
    </i>
    <i r="1">
      <x v="89"/>
    </i>
    <i r="1">
      <x v="90"/>
    </i>
    <i r="1">
      <x v="91"/>
    </i>
    <i>
      <x v="4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t="grand">
      <x/>
    </i>
  </rowItems>
  <colItems count="1">
    <i/>
  </colItems>
  <dataFields count="1">
    <dataField name="Sum of Total sales" fld="7" baseField="0" baseItem="0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206BE5-DD92-4239-9E21-3696DAE57C6A}" name="Table1" displayName="Table1" ref="A1:H301" totalsRowShown="0" headerRowDxfId="0">
  <autoFilter ref="A1:H301" xr:uid="{DD206BE5-DD92-4239-9E21-3696DAE57C6A}"/>
  <tableColumns count="8">
    <tableColumn id="1" xr3:uid="{7A8EDFAE-15B4-47EF-9605-DD8CC51DB7BD}" name="Order ID"/>
    <tableColumn id="2" xr3:uid="{E3E6D8B3-4C00-4970-8334-615FE93B78A7}" name="Product"/>
    <tableColumn id="3" xr3:uid="{83279B98-280D-4C33-B3AB-789BDDBE556D}" name="Category"/>
    <tableColumn id="4" xr3:uid="{035AEEA6-6B69-40F7-AD9A-109BC3129775}" name="Price"/>
    <tableColumn id="5" xr3:uid="{821C7A42-BBDE-4A52-B082-1C4D55839327}" name="Quantity"/>
    <tableColumn id="6" xr3:uid="{E6E0EEED-9906-4A55-9C75-7EE7CEB7CDB1}" name="Date" dataDxfId="1"/>
    <tableColumn id="7" xr3:uid="{29A5C214-5D67-4B64-BAEA-E57E67828E42}" name="City"/>
    <tableColumn id="8" xr3:uid="{8D0E25A4-6238-4918-B926-AC26F6E31F6F}" name="Total sales">
      <calculatedColumnFormula>D2 * E2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76EC6-7E30-4F8A-A944-173CAB435C32}">
  <dimension ref="A3:B7"/>
  <sheetViews>
    <sheetView tabSelected="1" workbookViewId="0">
      <selection activeCell="N19" sqref="N19"/>
    </sheetView>
  </sheetViews>
  <sheetFormatPr defaultRowHeight="14.4" x14ac:dyDescent="0.3"/>
  <cols>
    <col min="1" max="1" width="12.5546875" bestFit="1" customWidth="1"/>
    <col min="2" max="2" width="16.21875" bestFit="1" customWidth="1"/>
  </cols>
  <sheetData>
    <row r="3" spans="1:2" x14ac:dyDescent="0.3">
      <c r="A3" s="3" t="s">
        <v>22</v>
      </c>
      <c r="B3" t="s">
        <v>24</v>
      </c>
    </row>
    <row r="4" spans="1:2" x14ac:dyDescent="0.3">
      <c r="A4" s="4" t="s">
        <v>15</v>
      </c>
      <c r="B4" s="5">
        <v>6469136</v>
      </c>
    </row>
    <row r="5" spans="1:2" x14ac:dyDescent="0.3">
      <c r="A5" s="4" t="s">
        <v>13</v>
      </c>
      <c r="B5" s="5">
        <v>8039933</v>
      </c>
    </row>
    <row r="6" spans="1:2" x14ac:dyDescent="0.3">
      <c r="A6" s="4" t="s">
        <v>14</v>
      </c>
      <c r="B6" s="5">
        <v>8805133</v>
      </c>
    </row>
    <row r="7" spans="1:2" x14ac:dyDescent="0.3">
      <c r="A7" s="4" t="s">
        <v>23</v>
      </c>
      <c r="B7" s="5">
        <v>23314202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1D810-1F39-41D8-8DAF-2E2766DFD926}">
  <dimension ref="A3:B9"/>
  <sheetViews>
    <sheetView workbookViewId="0">
      <selection activeCell="Q10" sqref="Q10"/>
    </sheetView>
  </sheetViews>
  <sheetFormatPr defaultRowHeight="14.4" x14ac:dyDescent="0.3"/>
  <cols>
    <col min="1" max="1" width="12.5546875" bestFit="1" customWidth="1"/>
    <col min="2" max="2" width="16.21875" bestFit="1" customWidth="1"/>
  </cols>
  <sheetData>
    <row r="3" spans="1:2" x14ac:dyDescent="0.3">
      <c r="A3" s="3" t="s">
        <v>22</v>
      </c>
      <c r="B3" t="s">
        <v>24</v>
      </c>
    </row>
    <row r="4" spans="1:2" x14ac:dyDescent="0.3">
      <c r="A4" s="4" t="s">
        <v>19</v>
      </c>
      <c r="B4" s="5">
        <v>3859681</v>
      </c>
    </row>
    <row r="5" spans="1:2" x14ac:dyDescent="0.3">
      <c r="A5" s="4" t="s">
        <v>17</v>
      </c>
      <c r="B5" s="5">
        <v>3597919</v>
      </c>
    </row>
    <row r="6" spans="1:2" x14ac:dyDescent="0.3">
      <c r="A6" s="4" t="s">
        <v>16</v>
      </c>
      <c r="B6" s="5">
        <v>4668559</v>
      </c>
    </row>
    <row r="7" spans="1:2" x14ac:dyDescent="0.3">
      <c r="A7" s="4" t="s">
        <v>18</v>
      </c>
      <c r="B7" s="5">
        <v>5510474</v>
      </c>
    </row>
    <row r="8" spans="1:2" x14ac:dyDescent="0.3">
      <c r="A8" s="4" t="s">
        <v>20</v>
      </c>
      <c r="B8" s="5">
        <v>5677569</v>
      </c>
    </row>
    <row r="9" spans="1:2" x14ac:dyDescent="0.3">
      <c r="A9" s="4" t="s">
        <v>23</v>
      </c>
      <c r="B9" s="5">
        <v>23314202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C233F-F88B-4D90-AD03-73ACBC8296C7}">
  <dimension ref="A3:B118"/>
  <sheetViews>
    <sheetView workbookViewId="0">
      <selection activeCell="P12" sqref="P12"/>
    </sheetView>
  </sheetViews>
  <sheetFormatPr defaultRowHeight="14.4" x14ac:dyDescent="0.3"/>
  <cols>
    <col min="1" max="1" width="12.5546875" bestFit="1" customWidth="1"/>
    <col min="2" max="2" width="16.21875" bestFit="1" customWidth="1"/>
  </cols>
  <sheetData>
    <row r="3" spans="1:2" x14ac:dyDescent="0.3">
      <c r="A3" s="3" t="s">
        <v>22</v>
      </c>
      <c r="B3" t="s">
        <v>24</v>
      </c>
    </row>
    <row r="4" spans="1:2" x14ac:dyDescent="0.3">
      <c r="A4" s="4" t="s">
        <v>25</v>
      </c>
      <c r="B4" s="5">
        <v>4697043</v>
      </c>
    </row>
    <row r="5" spans="1:2" x14ac:dyDescent="0.3">
      <c r="A5" s="6" t="s">
        <v>58</v>
      </c>
      <c r="B5" s="5">
        <v>57895</v>
      </c>
    </row>
    <row r="6" spans="1:2" x14ac:dyDescent="0.3">
      <c r="A6" s="6" t="s">
        <v>59</v>
      </c>
      <c r="B6" s="5">
        <v>183518</v>
      </c>
    </row>
    <row r="7" spans="1:2" x14ac:dyDescent="0.3">
      <c r="A7" s="6" t="s">
        <v>60</v>
      </c>
      <c r="B7" s="5">
        <v>297277</v>
      </c>
    </row>
    <row r="8" spans="1:2" x14ac:dyDescent="0.3">
      <c r="A8" s="6" t="s">
        <v>61</v>
      </c>
      <c r="B8" s="5">
        <v>271596</v>
      </c>
    </row>
    <row r="9" spans="1:2" x14ac:dyDescent="0.3">
      <c r="A9" s="6" t="s">
        <v>62</v>
      </c>
      <c r="B9" s="5">
        <v>131502</v>
      </c>
    </row>
    <row r="10" spans="1:2" x14ac:dyDescent="0.3">
      <c r="A10" s="6" t="s">
        <v>63</v>
      </c>
      <c r="B10" s="5">
        <v>407365</v>
      </c>
    </row>
    <row r="11" spans="1:2" x14ac:dyDescent="0.3">
      <c r="A11" s="6" t="s">
        <v>64</v>
      </c>
      <c r="B11" s="5">
        <v>248588</v>
      </c>
    </row>
    <row r="12" spans="1:2" x14ac:dyDescent="0.3">
      <c r="A12" s="6" t="s">
        <v>65</v>
      </c>
      <c r="B12" s="5">
        <v>56436</v>
      </c>
    </row>
    <row r="13" spans="1:2" x14ac:dyDescent="0.3">
      <c r="A13" s="6" t="s">
        <v>66</v>
      </c>
      <c r="B13" s="5">
        <v>226192</v>
      </c>
    </row>
    <row r="14" spans="1:2" x14ac:dyDescent="0.3">
      <c r="A14" s="6" t="s">
        <v>67</v>
      </c>
      <c r="B14" s="5">
        <v>130006</v>
      </c>
    </row>
    <row r="15" spans="1:2" x14ac:dyDescent="0.3">
      <c r="A15" s="6" t="s">
        <v>68</v>
      </c>
      <c r="B15" s="5">
        <v>75665</v>
      </c>
    </row>
    <row r="16" spans="1:2" x14ac:dyDescent="0.3">
      <c r="A16" s="6" t="s">
        <v>69</v>
      </c>
      <c r="B16" s="5">
        <v>341193</v>
      </c>
    </row>
    <row r="17" spans="1:2" x14ac:dyDescent="0.3">
      <c r="A17" s="6" t="s">
        <v>70</v>
      </c>
      <c r="B17" s="5">
        <v>135762</v>
      </c>
    </row>
    <row r="18" spans="1:2" x14ac:dyDescent="0.3">
      <c r="A18" s="6" t="s">
        <v>71</v>
      </c>
      <c r="B18" s="5">
        <v>241256</v>
      </c>
    </row>
    <row r="19" spans="1:2" x14ac:dyDescent="0.3">
      <c r="A19" s="6" t="s">
        <v>72</v>
      </c>
      <c r="B19" s="5">
        <v>197544</v>
      </c>
    </row>
    <row r="20" spans="1:2" x14ac:dyDescent="0.3">
      <c r="A20" s="6" t="s">
        <v>73</v>
      </c>
      <c r="B20" s="5">
        <v>313212</v>
      </c>
    </row>
    <row r="21" spans="1:2" x14ac:dyDescent="0.3">
      <c r="A21" s="6" t="s">
        <v>74</v>
      </c>
      <c r="B21" s="5">
        <v>79926</v>
      </c>
    </row>
    <row r="22" spans="1:2" x14ac:dyDescent="0.3">
      <c r="A22" s="6" t="s">
        <v>75</v>
      </c>
      <c r="B22" s="5">
        <v>155352</v>
      </c>
    </row>
    <row r="23" spans="1:2" x14ac:dyDescent="0.3">
      <c r="A23" s="6" t="s">
        <v>76</v>
      </c>
      <c r="B23" s="5">
        <v>15219</v>
      </c>
    </row>
    <row r="24" spans="1:2" x14ac:dyDescent="0.3">
      <c r="A24" s="6" t="s">
        <v>77</v>
      </c>
      <c r="B24" s="5">
        <v>151955</v>
      </c>
    </row>
    <row r="25" spans="1:2" x14ac:dyDescent="0.3">
      <c r="A25" s="6" t="s">
        <v>78</v>
      </c>
      <c r="B25" s="5">
        <v>505366</v>
      </c>
    </row>
    <row r="26" spans="1:2" x14ac:dyDescent="0.3">
      <c r="A26" s="6" t="s">
        <v>79</v>
      </c>
      <c r="B26" s="5">
        <v>229003</v>
      </c>
    </row>
    <row r="27" spans="1:2" x14ac:dyDescent="0.3">
      <c r="A27" s="6" t="s">
        <v>80</v>
      </c>
      <c r="B27" s="5">
        <v>67716</v>
      </c>
    </row>
    <row r="28" spans="1:2" x14ac:dyDescent="0.3">
      <c r="A28" s="6" t="s">
        <v>81</v>
      </c>
      <c r="B28" s="5">
        <v>62574</v>
      </c>
    </row>
    <row r="29" spans="1:2" x14ac:dyDescent="0.3">
      <c r="A29" s="6" t="s">
        <v>82</v>
      </c>
      <c r="B29" s="5">
        <v>60170</v>
      </c>
    </row>
    <row r="30" spans="1:2" x14ac:dyDescent="0.3">
      <c r="A30" s="6" t="s">
        <v>83</v>
      </c>
      <c r="B30" s="5">
        <v>54755</v>
      </c>
    </row>
    <row r="31" spans="1:2" x14ac:dyDescent="0.3">
      <c r="A31" s="4" t="s">
        <v>26</v>
      </c>
      <c r="B31" s="5">
        <v>6081607</v>
      </c>
    </row>
    <row r="32" spans="1:2" x14ac:dyDescent="0.3">
      <c r="A32" s="6" t="s">
        <v>84</v>
      </c>
      <c r="B32" s="5">
        <v>63447</v>
      </c>
    </row>
    <row r="33" spans="1:2" x14ac:dyDescent="0.3">
      <c r="A33" s="6" t="s">
        <v>85</v>
      </c>
      <c r="B33" s="5">
        <v>62660</v>
      </c>
    </row>
    <row r="34" spans="1:2" x14ac:dyDescent="0.3">
      <c r="A34" s="6" t="s">
        <v>86</v>
      </c>
      <c r="B34" s="5">
        <v>143178</v>
      </c>
    </row>
    <row r="35" spans="1:2" x14ac:dyDescent="0.3">
      <c r="A35" s="6" t="s">
        <v>87</v>
      </c>
      <c r="B35" s="5">
        <v>57264</v>
      </c>
    </row>
    <row r="36" spans="1:2" x14ac:dyDescent="0.3">
      <c r="A36" s="6" t="s">
        <v>88</v>
      </c>
      <c r="B36" s="5">
        <v>236305</v>
      </c>
    </row>
    <row r="37" spans="1:2" x14ac:dyDescent="0.3">
      <c r="A37" s="6" t="s">
        <v>89</v>
      </c>
      <c r="B37" s="5">
        <v>498892</v>
      </c>
    </row>
    <row r="38" spans="1:2" x14ac:dyDescent="0.3">
      <c r="A38" s="6" t="s">
        <v>90</v>
      </c>
      <c r="B38" s="5">
        <v>241931</v>
      </c>
    </row>
    <row r="39" spans="1:2" x14ac:dyDescent="0.3">
      <c r="A39" s="6" t="s">
        <v>91</v>
      </c>
      <c r="B39" s="5">
        <v>207841</v>
      </c>
    </row>
    <row r="40" spans="1:2" x14ac:dyDescent="0.3">
      <c r="A40" s="6" t="s">
        <v>92</v>
      </c>
      <c r="B40" s="5">
        <v>198174</v>
      </c>
    </row>
    <row r="41" spans="1:2" x14ac:dyDescent="0.3">
      <c r="A41" s="6" t="s">
        <v>93</v>
      </c>
      <c r="B41" s="5">
        <v>48714</v>
      </c>
    </row>
    <row r="42" spans="1:2" x14ac:dyDescent="0.3">
      <c r="A42" s="6" t="s">
        <v>94</v>
      </c>
      <c r="B42" s="5">
        <v>61425</v>
      </c>
    </row>
    <row r="43" spans="1:2" x14ac:dyDescent="0.3">
      <c r="A43" s="6" t="s">
        <v>95</v>
      </c>
      <c r="B43" s="5">
        <v>344540</v>
      </c>
    </row>
    <row r="44" spans="1:2" x14ac:dyDescent="0.3">
      <c r="A44" s="6" t="s">
        <v>96</v>
      </c>
      <c r="B44" s="5">
        <v>274502</v>
      </c>
    </row>
    <row r="45" spans="1:2" x14ac:dyDescent="0.3">
      <c r="A45" s="6" t="s">
        <v>97</v>
      </c>
      <c r="B45" s="5">
        <v>624686</v>
      </c>
    </row>
    <row r="46" spans="1:2" x14ac:dyDescent="0.3">
      <c r="A46" s="6" t="s">
        <v>98</v>
      </c>
      <c r="B46" s="5">
        <v>525284</v>
      </c>
    </row>
    <row r="47" spans="1:2" x14ac:dyDescent="0.3">
      <c r="A47" s="6" t="s">
        <v>99</v>
      </c>
      <c r="B47" s="5">
        <v>137125</v>
      </c>
    </row>
    <row r="48" spans="1:2" x14ac:dyDescent="0.3">
      <c r="A48" s="6" t="s">
        <v>100</v>
      </c>
      <c r="B48" s="5">
        <v>218650</v>
      </c>
    </row>
    <row r="49" spans="1:2" x14ac:dyDescent="0.3">
      <c r="A49" s="6" t="s">
        <v>101</v>
      </c>
      <c r="B49" s="5">
        <v>684608</v>
      </c>
    </row>
    <row r="50" spans="1:2" x14ac:dyDescent="0.3">
      <c r="A50" s="6" t="s">
        <v>102</v>
      </c>
      <c r="B50" s="5">
        <v>153120</v>
      </c>
    </row>
    <row r="51" spans="1:2" x14ac:dyDescent="0.3">
      <c r="A51" s="6" t="s">
        <v>103</v>
      </c>
      <c r="B51" s="5">
        <v>58413</v>
      </c>
    </row>
    <row r="52" spans="1:2" x14ac:dyDescent="0.3">
      <c r="A52" s="6" t="s">
        <v>104</v>
      </c>
      <c r="B52" s="5">
        <v>32416</v>
      </c>
    </row>
    <row r="53" spans="1:2" x14ac:dyDescent="0.3">
      <c r="A53" s="6" t="s">
        <v>105</v>
      </c>
      <c r="B53" s="5">
        <v>294782</v>
      </c>
    </row>
    <row r="54" spans="1:2" x14ac:dyDescent="0.3">
      <c r="A54" s="6" t="s">
        <v>106</v>
      </c>
      <c r="B54" s="5">
        <v>131312</v>
      </c>
    </row>
    <row r="55" spans="1:2" x14ac:dyDescent="0.3">
      <c r="A55" s="6" t="s">
        <v>107</v>
      </c>
      <c r="B55" s="5">
        <v>221906</v>
      </c>
    </row>
    <row r="56" spans="1:2" x14ac:dyDescent="0.3">
      <c r="A56" s="6" t="s">
        <v>108</v>
      </c>
      <c r="B56" s="5">
        <v>416067</v>
      </c>
    </row>
    <row r="57" spans="1:2" x14ac:dyDescent="0.3">
      <c r="A57" s="6" t="s">
        <v>109</v>
      </c>
      <c r="B57" s="5">
        <v>144365</v>
      </c>
    </row>
    <row r="58" spans="1:2" x14ac:dyDescent="0.3">
      <c r="A58" s="4" t="s">
        <v>27</v>
      </c>
      <c r="B58" s="5">
        <v>6187902</v>
      </c>
    </row>
    <row r="59" spans="1:2" x14ac:dyDescent="0.3">
      <c r="A59" s="6" t="s">
        <v>110</v>
      </c>
      <c r="B59" s="5">
        <v>185359</v>
      </c>
    </row>
    <row r="60" spans="1:2" x14ac:dyDescent="0.3">
      <c r="A60" s="6" t="s">
        <v>111</v>
      </c>
      <c r="B60" s="5">
        <v>163816</v>
      </c>
    </row>
    <row r="61" spans="1:2" x14ac:dyDescent="0.3">
      <c r="A61" s="6" t="s">
        <v>112</v>
      </c>
      <c r="B61" s="5">
        <v>482939</v>
      </c>
    </row>
    <row r="62" spans="1:2" x14ac:dyDescent="0.3">
      <c r="A62" s="6" t="s">
        <v>113</v>
      </c>
      <c r="B62" s="5">
        <v>398602</v>
      </c>
    </row>
    <row r="63" spans="1:2" x14ac:dyDescent="0.3">
      <c r="A63" s="6" t="s">
        <v>114</v>
      </c>
      <c r="B63" s="5">
        <v>91685</v>
      </c>
    </row>
    <row r="64" spans="1:2" x14ac:dyDescent="0.3">
      <c r="A64" s="6" t="s">
        <v>115</v>
      </c>
      <c r="B64" s="5">
        <v>362886</v>
      </c>
    </row>
    <row r="65" spans="1:2" x14ac:dyDescent="0.3">
      <c r="A65" s="6" t="s">
        <v>116</v>
      </c>
      <c r="B65" s="5">
        <v>281391</v>
      </c>
    </row>
    <row r="66" spans="1:2" x14ac:dyDescent="0.3">
      <c r="A66" s="6" t="s">
        <v>117</v>
      </c>
      <c r="B66" s="5">
        <v>66908</v>
      </c>
    </row>
    <row r="67" spans="1:2" x14ac:dyDescent="0.3">
      <c r="A67" s="6" t="s">
        <v>118</v>
      </c>
      <c r="B67" s="5">
        <v>218664</v>
      </c>
    </row>
    <row r="68" spans="1:2" x14ac:dyDescent="0.3">
      <c r="A68" s="6" t="s">
        <v>119</v>
      </c>
      <c r="B68" s="5">
        <v>138416</v>
      </c>
    </row>
    <row r="69" spans="1:2" x14ac:dyDescent="0.3">
      <c r="A69" s="6" t="s">
        <v>120</v>
      </c>
      <c r="B69" s="5">
        <v>178630</v>
      </c>
    </row>
    <row r="70" spans="1:2" x14ac:dyDescent="0.3">
      <c r="A70" s="6" t="s">
        <v>121</v>
      </c>
      <c r="B70" s="5">
        <v>51847</v>
      </c>
    </row>
    <row r="71" spans="1:2" x14ac:dyDescent="0.3">
      <c r="A71" s="6" t="s">
        <v>122</v>
      </c>
      <c r="B71" s="5">
        <v>22415</v>
      </c>
    </row>
    <row r="72" spans="1:2" x14ac:dyDescent="0.3">
      <c r="A72" s="6" t="s">
        <v>123</v>
      </c>
      <c r="B72" s="5">
        <v>249820</v>
      </c>
    </row>
    <row r="73" spans="1:2" x14ac:dyDescent="0.3">
      <c r="A73" s="6" t="s">
        <v>124</v>
      </c>
      <c r="B73" s="5">
        <v>99064</v>
      </c>
    </row>
    <row r="74" spans="1:2" x14ac:dyDescent="0.3">
      <c r="A74" s="6" t="s">
        <v>125</v>
      </c>
      <c r="B74" s="5">
        <v>225947</v>
      </c>
    </row>
    <row r="75" spans="1:2" x14ac:dyDescent="0.3">
      <c r="A75" s="6" t="s">
        <v>126</v>
      </c>
      <c r="B75" s="5">
        <v>399174</v>
      </c>
    </row>
    <row r="76" spans="1:2" x14ac:dyDescent="0.3">
      <c r="A76" s="6" t="s">
        <v>127</v>
      </c>
      <c r="B76" s="5">
        <v>317137</v>
      </c>
    </row>
    <row r="77" spans="1:2" x14ac:dyDescent="0.3">
      <c r="A77" s="6" t="s">
        <v>128</v>
      </c>
      <c r="B77" s="5">
        <v>103167</v>
      </c>
    </row>
    <row r="78" spans="1:2" x14ac:dyDescent="0.3">
      <c r="A78" s="6" t="s">
        <v>129</v>
      </c>
      <c r="B78" s="5">
        <v>244525</v>
      </c>
    </row>
    <row r="79" spans="1:2" x14ac:dyDescent="0.3">
      <c r="A79" s="6" t="s">
        <v>130</v>
      </c>
      <c r="B79" s="5">
        <v>269607</v>
      </c>
    </row>
    <row r="80" spans="1:2" x14ac:dyDescent="0.3">
      <c r="A80" s="6" t="s">
        <v>131</v>
      </c>
      <c r="B80" s="5">
        <v>277895</v>
      </c>
    </row>
    <row r="81" spans="1:2" x14ac:dyDescent="0.3">
      <c r="A81" s="6" t="s">
        <v>132</v>
      </c>
      <c r="B81" s="5">
        <v>172202</v>
      </c>
    </row>
    <row r="82" spans="1:2" x14ac:dyDescent="0.3">
      <c r="A82" s="6" t="s">
        <v>133</v>
      </c>
      <c r="B82" s="5">
        <v>313083</v>
      </c>
    </row>
    <row r="83" spans="1:2" x14ac:dyDescent="0.3">
      <c r="A83" s="6" t="s">
        <v>134</v>
      </c>
      <c r="B83" s="5">
        <v>98896</v>
      </c>
    </row>
    <row r="84" spans="1:2" x14ac:dyDescent="0.3">
      <c r="A84" s="6" t="s">
        <v>135</v>
      </c>
      <c r="B84" s="5">
        <v>211118</v>
      </c>
    </row>
    <row r="85" spans="1:2" x14ac:dyDescent="0.3">
      <c r="A85" s="6" t="s">
        <v>136</v>
      </c>
      <c r="B85" s="5">
        <v>269038</v>
      </c>
    </row>
    <row r="86" spans="1:2" x14ac:dyDescent="0.3">
      <c r="A86" s="6" t="s">
        <v>137</v>
      </c>
      <c r="B86" s="5">
        <v>60380</v>
      </c>
    </row>
    <row r="87" spans="1:2" x14ac:dyDescent="0.3">
      <c r="A87" s="6" t="s">
        <v>138</v>
      </c>
      <c r="B87" s="5">
        <v>233291</v>
      </c>
    </row>
    <row r="88" spans="1:2" x14ac:dyDescent="0.3">
      <c r="A88" s="4" t="s">
        <v>28</v>
      </c>
      <c r="B88" s="5">
        <v>6347650</v>
      </c>
    </row>
    <row r="89" spans="1:2" x14ac:dyDescent="0.3">
      <c r="A89" s="6" t="s">
        <v>29</v>
      </c>
      <c r="B89" s="5">
        <v>217088</v>
      </c>
    </row>
    <row r="90" spans="1:2" x14ac:dyDescent="0.3">
      <c r="A90" s="6" t="s">
        <v>30</v>
      </c>
      <c r="B90" s="5">
        <v>155438</v>
      </c>
    </row>
    <row r="91" spans="1:2" x14ac:dyDescent="0.3">
      <c r="A91" s="6" t="s">
        <v>31</v>
      </c>
      <c r="B91" s="5">
        <v>95818</v>
      </c>
    </row>
    <row r="92" spans="1:2" x14ac:dyDescent="0.3">
      <c r="A92" s="6" t="s">
        <v>32</v>
      </c>
      <c r="B92" s="5">
        <v>377348</v>
      </c>
    </row>
    <row r="93" spans="1:2" x14ac:dyDescent="0.3">
      <c r="A93" s="6" t="s">
        <v>33</v>
      </c>
      <c r="B93" s="5">
        <v>516153</v>
      </c>
    </row>
    <row r="94" spans="1:2" x14ac:dyDescent="0.3">
      <c r="A94" s="6" t="s">
        <v>34</v>
      </c>
      <c r="B94" s="5">
        <v>153440</v>
      </c>
    </row>
    <row r="95" spans="1:2" x14ac:dyDescent="0.3">
      <c r="A95" s="6" t="s">
        <v>35</v>
      </c>
      <c r="B95" s="5">
        <v>282368</v>
      </c>
    </row>
    <row r="96" spans="1:2" x14ac:dyDescent="0.3">
      <c r="A96" s="6" t="s">
        <v>36</v>
      </c>
      <c r="B96" s="5">
        <v>28946</v>
      </c>
    </row>
    <row r="97" spans="1:2" x14ac:dyDescent="0.3">
      <c r="A97" s="6" t="s">
        <v>37</v>
      </c>
      <c r="B97" s="5">
        <v>277316</v>
      </c>
    </row>
    <row r="98" spans="1:2" x14ac:dyDescent="0.3">
      <c r="A98" s="6" t="s">
        <v>38</v>
      </c>
      <c r="B98" s="5">
        <v>375464</v>
      </c>
    </row>
    <row r="99" spans="1:2" x14ac:dyDescent="0.3">
      <c r="A99" s="6" t="s">
        <v>39</v>
      </c>
      <c r="B99" s="5">
        <v>119820</v>
      </c>
    </row>
    <row r="100" spans="1:2" x14ac:dyDescent="0.3">
      <c r="A100" s="6" t="s">
        <v>40</v>
      </c>
      <c r="B100" s="5">
        <v>297639</v>
      </c>
    </row>
    <row r="101" spans="1:2" x14ac:dyDescent="0.3">
      <c r="A101" s="6" t="s">
        <v>41</v>
      </c>
      <c r="B101" s="5">
        <v>273245</v>
      </c>
    </row>
    <row r="102" spans="1:2" x14ac:dyDescent="0.3">
      <c r="A102" s="6" t="s">
        <v>42</v>
      </c>
      <c r="B102" s="5">
        <v>131158</v>
      </c>
    </row>
    <row r="103" spans="1:2" x14ac:dyDescent="0.3">
      <c r="A103" s="6" t="s">
        <v>43</v>
      </c>
      <c r="B103" s="5">
        <v>271152</v>
      </c>
    </row>
    <row r="104" spans="1:2" x14ac:dyDescent="0.3">
      <c r="A104" s="6" t="s">
        <v>44</v>
      </c>
      <c r="B104" s="5">
        <v>168752</v>
      </c>
    </row>
    <row r="105" spans="1:2" x14ac:dyDescent="0.3">
      <c r="A105" s="6" t="s">
        <v>45</v>
      </c>
      <c r="B105" s="5">
        <v>94465</v>
      </c>
    </row>
    <row r="106" spans="1:2" x14ac:dyDescent="0.3">
      <c r="A106" s="6" t="s">
        <v>46</v>
      </c>
      <c r="B106" s="5">
        <v>210096</v>
      </c>
    </row>
    <row r="107" spans="1:2" x14ac:dyDescent="0.3">
      <c r="A107" s="6" t="s">
        <v>47</v>
      </c>
      <c r="B107" s="5">
        <v>122853</v>
      </c>
    </row>
    <row r="108" spans="1:2" x14ac:dyDescent="0.3">
      <c r="A108" s="6" t="s">
        <v>48</v>
      </c>
      <c r="B108" s="5">
        <v>193248</v>
      </c>
    </row>
    <row r="109" spans="1:2" x14ac:dyDescent="0.3">
      <c r="A109" s="6" t="s">
        <v>49</v>
      </c>
      <c r="B109" s="5">
        <v>137605</v>
      </c>
    </row>
    <row r="110" spans="1:2" x14ac:dyDescent="0.3">
      <c r="A110" s="6" t="s">
        <v>50</v>
      </c>
      <c r="B110" s="5">
        <v>104003</v>
      </c>
    </row>
    <row r="111" spans="1:2" x14ac:dyDescent="0.3">
      <c r="A111" s="6" t="s">
        <v>51</v>
      </c>
      <c r="B111" s="5">
        <v>325774</v>
      </c>
    </row>
    <row r="112" spans="1:2" x14ac:dyDescent="0.3">
      <c r="A112" s="6" t="s">
        <v>52</v>
      </c>
      <c r="B112" s="5">
        <v>111930</v>
      </c>
    </row>
    <row r="113" spans="1:2" x14ac:dyDescent="0.3">
      <c r="A113" s="6" t="s">
        <v>53</v>
      </c>
      <c r="B113" s="5">
        <v>77034</v>
      </c>
    </row>
    <row r="114" spans="1:2" x14ac:dyDescent="0.3">
      <c r="A114" s="6" t="s">
        <v>54</v>
      </c>
      <c r="B114" s="5">
        <v>444742</v>
      </c>
    </row>
    <row r="115" spans="1:2" x14ac:dyDescent="0.3">
      <c r="A115" s="6" t="s">
        <v>55</v>
      </c>
      <c r="B115" s="5">
        <v>372982</v>
      </c>
    </row>
    <row r="116" spans="1:2" x14ac:dyDescent="0.3">
      <c r="A116" s="6" t="s">
        <v>56</v>
      </c>
      <c r="B116" s="5">
        <v>46452</v>
      </c>
    </row>
    <row r="117" spans="1:2" x14ac:dyDescent="0.3">
      <c r="A117" s="6" t="s">
        <v>57</v>
      </c>
      <c r="B117" s="5">
        <v>365321</v>
      </c>
    </row>
    <row r="118" spans="1:2" x14ac:dyDescent="0.3">
      <c r="A118" s="4" t="s">
        <v>23</v>
      </c>
      <c r="B118" s="5">
        <v>23314202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76885-B112-4C14-BC12-9A2636267550}">
  <dimension ref="A1:O44"/>
  <sheetViews>
    <sheetView topLeftCell="A8" zoomScale="80" zoomScaleNormal="80" workbookViewId="0">
      <selection activeCell="E44" sqref="E44:M44"/>
    </sheetView>
  </sheetViews>
  <sheetFormatPr defaultRowHeight="14.4" x14ac:dyDescent="0.3"/>
  <cols>
    <col min="1" max="1" width="14" customWidth="1"/>
    <col min="2" max="2" width="11.21875" customWidth="1"/>
    <col min="3" max="3" width="12.33203125" customWidth="1"/>
    <col min="11" max="11" width="8" customWidth="1"/>
    <col min="12" max="12" width="6.44140625" customWidth="1"/>
  </cols>
  <sheetData>
    <row r="1" spans="1:11" ht="14.4" customHeight="1" x14ac:dyDescent="0.3">
      <c r="A1" s="8" t="s">
        <v>139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14.4" customHeight="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14.4" customHeight="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ht="15.6" x14ac:dyDescent="0.3">
      <c r="A4" s="10" t="s">
        <v>140</v>
      </c>
      <c r="B4" s="2" t="s">
        <v>141</v>
      </c>
      <c r="C4" s="2" t="s">
        <v>142</v>
      </c>
    </row>
    <row r="5" spans="1:11" x14ac:dyDescent="0.3">
      <c r="A5">
        <f>SUM(Data!H:H)</f>
        <v>23314202</v>
      </c>
      <c r="B5">
        <f>COUNT(Data!A:A)</f>
        <v>300</v>
      </c>
      <c r="C5" t="s">
        <v>14</v>
      </c>
    </row>
    <row r="22" spans="2:15" x14ac:dyDescent="0.3">
      <c r="B22" s="13" t="s">
        <v>143</v>
      </c>
      <c r="C22" s="14"/>
      <c r="D22" s="14"/>
      <c r="E22" s="14"/>
      <c r="F22" s="14"/>
      <c r="J22" s="13" t="s">
        <v>144</v>
      </c>
      <c r="K22" s="11"/>
      <c r="L22" s="11"/>
      <c r="M22" s="11"/>
      <c r="N22" s="11"/>
      <c r="O22" s="11"/>
    </row>
    <row r="23" spans="2:15" x14ac:dyDescent="0.3">
      <c r="B23" s="14"/>
      <c r="C23" s="14"/>
      <c r="D23" s="14"/>
      <c r="E23" s="14"/>
      <c r="F23" s="14"/>
      <c r="J23" s="11"/>
      <c r="K23" s="11"/>
      <c r="L23" s="11"/>
      <c r="M23" s="11"/>
      <c r="N23" s="11"/>
      <c r="O23" s="11"/>
    </row>
    <row r="42" spans="5:13" x14ac:dyDescent="0.3">
      <c r="E42" s="12"/>
      <c r="F42" s="11"/>
      <c r="G42" s="11"/>
      <c r="H42" s="11"/>
      <c r="I42" s="11"/>
      <c r="J42" s="11"/>
      <c r="K42" s="11"/>
      <c r="L42" s="11"/>
      <c r="M42" s="11"/>
    </row>
    <row r="43" spans="5:13" x14ac:dyDescent="0.3">
      <c r="E43" s="12"/>
      <c r="F43" s="11"/>
      <c r="G43" s="11"/>
      <c r="H43" s="11"/>
      <c r="I43" s="11"/>
      <c r="J43" s="11"/>
      <c r="K43" s="11"/>
      <c r="L43" s="11"/>
      <c r="M43" s="11"/>
    </row>
    <row r="44" spans="5:13" ht="15.6" x14ac:dyDescent="0.3">
      <c r="E44" s="13" t="s">
        <v>145</v>
      </c>
      <c r="F44" s="11"/>
      <c r="G44" s="11"/>
      <c r="H44" s="11"/>
      <c r="I44" s="11"/>
      <c r="J44" s="11"/>
      <c r="K44" s="11"/>
      <c r="L44" s="11"/>
      <c r="M44" s="11"/>
    </row>
  </sheetData>
  <mergeCells count="6">
    <mergeCell ref="E44:M44"/>
    <mergeCell ref="J22:O23"/>
    <mergeCell ref="A1:K3"/>
    <mergeCell ref="B22:F23"/>
    <mergeCell ref="E42:M42"/>
    <mergeCell ref="E43:M4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workbookViewId="0">
      <selection activeCell="P15" sqref="P15"/>
    </sheetView>
  </sheetViews>
  <sheetFormatPr defaultRowHeight="14.4" x14ac:dyDescent="0.3"/>
  <cols>
    <col min="1" max="2" width="9.88671875" customWidth="1"/>
    <col min="3" max="3" width="10.77734375" customWidth="1"/>
    <col min="5" max="5" width="10.21875" customWidth="1"/>
    <col min="6" max="6" width="13.109375" customWidth="1"/>
    <col min="8" max="8" width="11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21</v>
      </c>
    </row>
    <row r="2" spans="1:8" x14ac:dyDescent="0.3">
      <c r="A2">
        <v>1</v>
      </c>
      <c r="B2" t="s">
        <v>7</v>
      </c>
      <c r="C2" t="s">
        <v>13</v>
      </c>
      <c r="D2">
        <v>10857</v>
      </c>
      <c r="E2">
        <v>5</v>
      </c>
      <c r="F2" s="7">
        <v>45351</v>
      </c>
      <c r="G2" t="s">
        <v>16</v>
      </c>
      <c r="H2">
        <f>D2 * E2</f>
        <v>54285</v>
      </c>
    </row>
    <row r="3" spans="1:8" x14ac:dyDescent="0.3">
      <c r="A3">
        <v>2</v>
      </c>
      <c r="B3" t="s">
        <v>7</v>
      </c>
      <c r="C3" t="s">
        <v>14</v>
      </c>
      <c r="D3">
        <v>38870</v>
      </c>
      <c r="E3">
        <v>3</v>
      </c>
      <c r="F3" s="7">
        <v>45397</v>
      </c>
      <c r="G3" t="s">
        <v>17</v>
      </c>
      <c r="H3">
        <f t="shared" ref="H3:H66" si="0">D3 * E3</f>
        <v>116610</v>
      </c>
    </row>
    <row r="4" spans="1:8" x14ac:dyDescent="0.3">
      <c r="A4">
        <v>3</v>
      </c>
      <c r="B4" t="s">
        <v>8</v>
      </c>
      <c r="C4" t="s">
        <v>14</v>
      </c>
      <c r="D4">
        <v>29177</v>
      </c>
      <c r="E4">
        <v>1</v>
      </c>
      <c r="F4" s="7">
        <v>45388</v>
      </c>
      <c r="G4" t="s">
        <v>17</v>
      </c>
      <c r="H4">
        <f t="shared" si="0"/>
        <v>29177</v>
      </c>
    </row>
    <row r="5" spans="1:8" x14ac:dyDescent="0.3">
      <c r="A5">
        <v>4</v>
      </c>
      <c r="B5" t="s">
        <v>9</v>
      </c>
      <c r="C5" t="s">
        <v>13</v>
      </c>
      <c r="D5">
        <v>11101</v>
      </c>
      <c r="E5">
        <v>3</v>
      </c>
      <c r="F5" s="7">
        <v>45306</v>
      </c>
      <c r="G5" t="s">
        <v>18</v>
      </c>
      <c r="H5">
        <f t="shared" si="0"/>
        <v>33303</v>
      </c>
    </row>
    <row r="6" spans="1:8" x14ac:dyDescent="0.3">
      <c r="A6">
        <v>5</v>
      </c>
      <c r="B6" t="s">
        <v>10</v>
      </c>
      <c r="C6" t="s">
        <v>14</v>
      </c>
      <c r="D6">
        <v>36982</v>
      </c>
      <c r="E6">
        <v>1</v>
      </c>
      <c r="F6" s="7">
        <v>45391</v>
      </c>
      <c r="G6" t="s">
        <v>16</v>
      </c>
      <c r="H6">
        <f t="shared" si="0"/>
        <v>36982</v>
      </c>
    </row>
    <row r="7" spans="1:8" x14ac:dyDescent="0.3">
      <c r="A7">
        <v>6</v>
      </c>
      <c r="B7" t="s">
        <v>11</v>
      </c>
      <c r="C7" t="s">
        <v>15</v>
      </c>
      <c r="D7">
        <v>41696</v>
      </c>
      <c r="E7">
        <v>2</v>
      </c>
      <c r="F7" s="7">
        <v>45350</v>
      </c>
      <c r="G7" t="s">
        <v>19</v>
      </c>
      <c r="H7">
        <f t="shared" si="0"/>
        <v>83392</v>
      </c>
    </row>
    <row r="8" spans="1:8" x14ac:dyDescent="0.3">
      <c r="A8">
        <v>7</v>
      </c>
      <c r="B8" t="s">
        <v>10</v>
      </c>
      <c r="C8" t="s">
        <v>13</v>
      </c>
      <c r="D8">
        <v>22536</v>
      </c>
      <c r="E8">
        <v>5</v>
      </c>
      <c r="F8" s="7">
        <v>45295</v>
      </c>
      <c r="G8" t="s">
        <v>19</v>
      </c>
      <c r="H8">
        <f t="shared" si="0"/>
        <v>112680</v>
      </c>
    </row>
    <row r="9" spans="1:8" x14ac:dyDescent="0.3">
      <c r="A9">
        <v>8</v>
      </c>
      <c r="B9" t="s">
        <v>12</v>
      </c>
      <c r="C9" t="s">
        <v>14</v>
      </c>
      <c r="D9">
        <v>18471</v>
      </c>
      <c r="E9">
        <v>5</v>
      </c>
      <c r="F9" s="7">
        <v>45359</v>
      </c>
      <c r="G9" t="s">
        <v>20</v>
      </c>
      <c r="H9">
        <f t="shared" si="0"/>
        <v>92355</v>
      </c>
    </row>
    <row r="10" spans="1:8" x14ac:dyDescent="0.3">
      <c r="A10">
        <v>9</v>
      </c>
      <c r="B10" t="s">
        <v>11</v>
      </c>
      <c r="C10" t="s">
        <v>15</v>
      </c>
      <c r="D10">
        <v>32446</v>
      </c>
      <c r="E10">
        <v>2</v>
      </c>
      <c r="F10" s="7">
        <v>45408</v>
      </c>
      <c r="G10" t="s">
        <v>16</v>
      </c>
      <c r="H10">
        <f t="shared" si="0"/>
        <v>64892</v>
      </c>
    </row>
    <row r="11" spans="1:8" x14ac:dyDescent="0.3">
      <c r="A11">
        <v>10</v>
      </c>
      <c r="B11" t="s">
        <v>7</v>
      </c>
      <c r="C11" t="s">
        <v>15</v>
      </c>
      <c r="D11">
        <v>19471</v>
      </c>
      <c r="E11">
        <v>3</v>
      </c>
      <c r="F11" s="7">
        <v>45345</v>
      </c>
      <c r="G11" t="s">
        <v>18</v>
      </c>
      <c r="H11">
        <f t="shared" si="0"/>
        <v>58413</v>
      </c>
    </row>
    <row r="12" spans="1:8" x14ac:dyDescent="0.3">
      <c r="A12">
        <v>11</v>
      </c>
      <c r="B12" t="s">
        <v>12</v>
      </c>
      <c r="C12" t="s">
        <v>15</v>
      </c>
      <c r="D12">
        <v>40107</v>
      </c>
      <c r="E12">
        <v>3</v>
      </c>
      <c r="F12" s="7">
        <v>45316</v>
      </c>
      <c r="G12" t="s">
        <v>18</v>
      </c>
      <c r="H12">
        <f t="shared" si="0"/>
        <v>120321</v>
      </c>
    </row>
    <row r="13" spans="1:8" x14ac:dyDescent="0.3">
      <c r="A13">
        <v>12</v>
      </c>
      <c r="B13" t="s">
        <v>7</v>
      </c>
      <c r="C13" t="s">
        <v>15</v>
      </c>
      <c r="D13">
        <v>28317</v>
      </c>
      <c r="E13">
        <v>2</v>
      </c>
      <c r="F13" s="7">
        <v>45306</v>
      </c>
      <c r="G13" t="s">
        <v>20</v>
      </c>
      <c r="H13">
        <f t="shared" si="0"/>
        <v>56634</v>
      </c>
    </row>
    <row r="14" spans="1:8" x14ac:dyDescent="0.3">
      <c r="A14">
        <v>13</v>
      </c>
      <c r="B14" t="s">
        <v>8</v>
      </c>
      <c r="C14" t="s">
        <v>15</v>
      </c>
      <c r="D14">
        <v>28129</v>
      </c>
      <c r="E14">
        <v>3</v>
      </c>
      <c r="F14" s="7">
        <v>45409</v>
      </c>
      <c r="G14" t="s">
        <v>20</v>
      </c>
      <c r="H14">
        <f t="shared" si="0"/>
        <v>84387</v>
      </c>
    </row>
    <row r="15" spans="1:8" x14ac:dyDescent="0.3">
      <c r="A15">
        <v>14</v>
      </c>
      <c r="B15" t="s">
        <v>12</v>
      </c>
      <c r="C15" t="s">
        <v>13</v>
      </c>
      <c r="D15">
        <v>33482</v>
      </c>
      <c r="E15">
        <v>4</v>
      </c>
      <c r="F15" s="7">
        <v>45382</v>
      </c>
      <c r="G15" t="s">
        <v>19</v>
      </c>
      <c r="H15">
        <f t="shared" si="0"/>
        <v>133928</v>
      </c>
    </row>
    <row r="16" spans="1:8" x14ac:dyDescent="0.3">
      <c r="A16">
        <v>15</v>
      </c>
      <c r="B16" t="s">
        <v>10</v>
      </c>
      <c r="C16" t="s">
        <v>14</v>
      </c>
      <c r="D16">
        <v>28202</v>
      </c>
      <c r="E16">
        <v>2</v>
      </c>
      <c r="F16" s="7">
        <v>45296</v>
      </c>
      <c r="G16" t="s">
        <v>17</v>
      </c>
      <c r="H16">
        <f t="shared" si="0"/>
        <v>56404</v>
      </c>
    </row>
    <row r="17" spans="1:8" x14ac:dyDescent="0.3">
      <c r="A17">
        <v>16</v>
      </c>
      <c r="B17" t="s">
        <v>7</v>
      </c>
      <c r="C17" t="s">
        <v>15</v>
      </c>
      <c r="D17">
        <v>19319</v>
      </c>
      <c r="E17">
        <v>1</v>
      </c>
      <c r="F17" s="7">
        <v>45393</v>
      </c>
      <c r="G17" t="s">
        <v>17</v>
      </c>
      <c r="H17">
        <f t="shared" si="0"/>
        <v>19319</v>
      </c>
    </row>
    <row r="18" spans="1:8" x14ac:dyDescent="0.3">
      <c r="A18">
        <v>17</v>
      </c>
      <c r="B18" t="s">
        <v>10</v>
      </c>
      <c r="C18" t="s">
        <v>13</v>
      </c>
      <c r="D18">
        <v>6609</v>
      </c>
      <c r="E18">
        <v>1</v>
      </c>
      <c r="F18" s="7">
        <v>45333</v>
      </c>
      <c r="G18" t="s">
        <v>17</v>
      </c>
      <c r="H18">
        <f t="shared" si="0"/>
        <v>6609</v>
      </c>
    </row>
    <row r="19" spans="1:8" x14ac:dyDescent="0.3">
      <c r="A19">
        <v>18</v>
      </c>
      <c r="B19" t="s">
        <v>10</v>
      </c>
      <c r="C19" t="s">
        <v>13</v>
      </c>
      <c r="D19">
        <v>15594</v>
      </c>
      <c r="E19">
        <v>2</v>
      </c>
      <c r="F19" s="7">
        <v>45315</v>
      </c>
      <c r="G19" t="s">
        <v>17</v>
      </c>
      <c r="H19">
        <f t="shared" si="0"/>
        <v>31188</v>
      </c>
    </row>
    <row r="20" spans="1:8" x14ac:dyDescent="0.3">
      <c r="A20">
        <v>19</v>
      </c>
      <c r="B20" t="s">
        <v>10</v>
      </c>
      <c r="C20" t="s">
        <v>15</v>
      </c>
      <c r="D20">
        <v>29285</v>
      </c>
      <c r="E20">
        <v>4</v>
      </c>
      <c r="F20" s="7">
        <v>45377</v>
      </c>
      <c r="G20" t="s">
        <v>16</v>
      </c>
      <c r="H20">
        <f t="shared" si="0"/>
        <v>117140</v>
      </c>
    </row>
    <row r="21" spans="1:8" x14ac:dyDescent="0.3">
      <c r="A21">
        <v>20</v>
      </c>
      <c r="B21" t="s">
        <v>11</v>
      </c>
      <c r="C21" t="s">
        <v>13</v>
      </c>
      <c r="D21">
        <v>46883</v>
      </c>
      <c r="E21">
        <v>1</v>
      </c>
      <c r="F21" s="7">
        <v>45360</v>
      </c>
      <c r="G21" t="s">
        <v>16</v>
      </c>
      <c r="H21">
        <f t="shared" si="0"/>
        <v>46883</v>
      </c>
    </row>
    <row r="22" spans="1:8" x14ac:dyDescent="0.3">
      <c r="A22">
        <v>21</v>
      </c>
      <c r="B22" t="s">
        <v>11</v>
      </c>
      <c r="C22" t="s">
        <v>15</v>
      </c>
      <c r="D22">
        <v>4823</v>
      </c>
      <c r="E22">
        <v>4</v>
      </c>
      <c r="F22" s="7">
        <v>45367</v>
      </c>
      <c r="G22" t="s">
        <v>18</v>
      </c>
      <c r="H22">
        <f t="shared" si="0"/>
        <v>19292</v>
      </c>
    </row>
    <row r="23" spans="1:8" x14ac:dyDescent="0.3">
      <c r="A23">
        <v>22</v>
      </c>
      <c r="B23" t="s">
        <v>12</v>
      </c>
      <c r="C23" t="s">
        <v>15</v>
      </c>
      <c r="D23">
        <v>18057</v>
      </c>
      <c r="E23">
        <v>2</v>
      </c>
      <c r="F23" s="7">
        <v>45332</v>
      </c>
      <c r="G23" t="s">
        <v>16</v>
      </c>
      <c r="H23">
        <f t="shared" si="0"/>
        <v>36114</v>
      </c>
    </row>
    <row r="24" spans="1:8" x14ac:dyDescent="0.3">
      <c r="A24">
        <v>23</v>
      </c>
      <c r="B24" t="s">
        <v>10</v>
      </c>
      <c r="C24" t="s">
        <v>13</v>
      </c>
      <c r="D24">
        <v>12628</v>
      </c>
      <c r="E24">
        <v>2</v>
      </c>
      <c r="F24" s="7">
        <v>45304</v>
      </c>
      <c r="G24" t="s">
        <v>20</v>
      </c>
      <c r="H24">
        <f t="shared" si="0"/>
        <v>25256</v>
      </c>
    </row>
    <row r="25" spans="1:8" x14ac:dyDescent="0.3">
      <c r="A25">
        <v>24</v>
      </c>
      <c r="B25" t="s">
        <v>9</v>
      </c>
      <c r="C25" t="s">
        <v>13</v>
      </c>
      <c r="D25">
        <v>21762</v>
      </c>
      <c r="E25">
        <v>4</v>
      </c>
      <c r="F25" s="7">
        <v>45333</v>
      </c>
      <c r="G25" t="s">
        <v>20</v>
      </c>
      <c r="H25">
        <f t="shared" si="0"/>
        <v>87048</v>
      </c>
    </row>
    <row r="26" spans="1:8" x14ac:dyDescent="0.3">
      <c r="A26">
        <v>25</v>
      </c>
      <c r="B26" t="s">
        <v>8</v>
      </c>
      <c r="C26" t="s">
        <v>13</v>
      </c>
      <c r="D26">
        <v>15863</v>
      </c>
      <c r="E26">
        <v>3</v>
      </c>
      <c r="F26" s="7">
        <v>45395</v>
      </c>
      <c r="G26" t="s">
        <v>18</v>
      </c>
      <c r="H26">
        <f t="shared" si="0"/>
        <v>47589</v>
      </c>
    </row>
    <row r="27" spans="1:8" x14ac:dyDescent="0.3">
      <c r="A27">
        <v>26</v>
      </c>
      <c r="B27" t="s">
        <v>11</v>
      </c>
      <c r="C27" t="s">
        <v>13</v>
      </c>
      <c r="D27">
        <v>11887</v>
      </c>
      <c r="E27">
        <v>4</v>
      </c>
      <c r="F27" s="7">
        <v>45400</v>
      </c>
      <c r="G27" t="s">
        <v>18</v>
      </c>
      <c r="H27">
        <f t="shared" si="0"/>
        <v>47548</v>
      </c>
    </row>
    <row r="28" spans="1:8" x14ac:dyDescent="0.3">
      <c r="A28">
        <v>27</v>
      </c>
      <c r="B28" t="s">
        <v>9</v>
      </c>
      <c r="C28" t="s">
        <v>13</v>
      </c>
      <c r="D28">
        <v>48585</v>
      </c>
      <c r="E28">
        <v>1</v>
      </c>
      <c r="F28" s="7">
        <v>45313</v>
      </c>
      <c r="G28" t="s">
        <v>16</v>
      </c>
      <c r="H28">
        <f t="shared" si="0"/>
        <v>48585</v>
      </c>
    </row>
    <row r="29" spans="1:8" x14ac:dyDescent="0.3">
      <c r="A29">
        <v>28</v>
      </c>
      <c r="B29" t="s">
        <v>10</v>
      </c>
      <c r="C29" t="s">
        <v>15</v>
      </c>
      <c r="D29">
        <v>7024</v>
      </c>
      <c r="E29">
        <v>3</v>
      </c>
      <c r="F29" s="7">
        <v>45403</v>
      </c>
      <c r="G29" t="s">
        <v>20</v>
      </c>
      <c r="H29">
        <f t="shared" si="0"/>
        <v>21072</v>
      </c>
    </row>
    <row r="30" spans="1:8" x14ac:dyDescent="0.3">
      <c r="A30">
        <v>29</v>
      </c>
      <c r="B30" t="s">
        <v>7</v>
      </c>
      <c r="C30" t="s">
        <v>13</v>
      </c>
      <c r="D30">
        <v>34736</v>
      </c>
      <c r="E30">
        <v>5</v>
      </c>
      <c r="F30" s="7">
        <v>45356</v>
      </c>
      <c r="G30" t="s">
        <v>17</v>
      </c>
      <c r="H30">
        <f t="shared" si="0"/>
        <v>173680</v>
      </c>
    </row>
    <row r="31" spans="1:8" x14ac:dyDescent="0.3">
      <c r="A31">
        <v>30</v>
      </c>
      <c r="B31" t="s">
        <v>9</v>
      </c>
      <c r="C31" t="s">
        <v>13</v>
      </c>
      <c r="D31">
        <v>15484</v>
      </c>
      <c r="E31">
        <v>3</v>
      </c>
      <c r="F31" s="7">
        <v>45411</v>
      </c>
      <c r="G31" t="s">
        <v>19</v>
      </c>
      <c r="H31">
        <f t="shared" si="0"/>
        <v>46452</v>
      </c>
    </row>
    <row r="32" spans="1:8" x14ac:dyDescent="0.3">
      <c r="A32">
        <v>31</v>
      </c>
      <c r="B32" t="s">
        <v>7</v>
      </c>
      <c r="C32" t="s">
        <v>14</v>
      </c>
      <c r="D32">
        <v>27628</v>
      </c>
      <c r="E32">
        <v>2</v>
      </c>
      <c r="F32" s="7">
        <v>45352</v>
      </c>
      <c r="G32" t="s">
        <v>17</v>
      </c>
      <c r="H32">
        <f t="shared" si="0"/>
        <v>55256</v>
      </c>
    </row>
    <row r="33" spans="1:8" x14ac:dyDescent="0.3">
      <c r="A33">
        <v>32</v>
      </c>
      <c r="B33" t="s">
        <v>9</v>
      </c>
      <c r="C33" t="s">
        <v>14</v>
      </c>
      <c r="D33">
        <v>10951</v>
      </c>
      <c r="E33">
        <v>5</v>
      </c>
      <c r="F33" s="7">
        <v>45322</v>
      </c>
      <c r="G33" t="s">
        <v>19</v>
      </c>
      <c r="H33">
        <f t="shared" si="0"/>
        <v>54755</v>
      </c>
    </row>
    <row r="34" spans="1:8" x14ac:dyDescent="0.3">
      <c r="A34">
        <v>33</v>
      </c>
      <c r="B34" t="s">
        <v>10</v>
      </c>
      <c r="C34" t="s">
        <v>15</v>
      </c>
      <c r="D34">
        <v>10440</v>
      </c>
      <c r="E34">
        <v>3</v>
      </c>
      <c r="F34" s="7">
        <v>45369</v>
      </c>
      <c r="G34" t="s">
        <v>18</v>
      </c>
      <c r="H34">
        <f t="shared" si="0"/>
        <v>31320</v>
      </c>
    </row>
    <row r="35" spans="1:8" x14ac:dyDescent="0.3">
      <c r="A35">
        <v>34</v>
      </c>
      <c r="B35" t="s">
        <v>12</v>
      </c>
      <c r="C35" t="s">
        <v>15</v>
      </c>
      <c r="D35">
        <v>36820</v>
      </c>
      <c r="E35">
        <v>4</v>
      </c>
      <c r="F35" s="7">
        <v>45342</v>
      </c>
      <c r="G35" t="s">
        <v>19</v>
      </c>
      <c r="H35">
        <f t="shared" si="0"/>
        <v>147280</v>
      </c>
    </row>
    <row r="36" spans="1:8" x14ac:dyDescent="0.3">
      <c r="A36">
        <v>35</v>
      </c>
      <c r="B36" t="s">
        <v>11</v>
      </c>
      <c r="C36" t="s">
        <v>14</v>
      </c>
      <c r="D36">
        <v>12038</v>
      </c>
      <c r="E36">
        <v>1</v>
      </c>
      <c r="F36" s="7">
        <v>45341</v>
      </c>
      <c r="G36" t="s">
        <v>17</v>
      </c>
      <c r="H36">
        <f t="shared" si="0"/>
        <v>12038</v>
      </c>
    </row>
    <row r="37" spans="1:8" x14ac:dyDescent="0.3">
      <c r="A37">
        <v>36</v>
      </c>
      <c r="B37" t="s">
        <v>8</v>
      </c>
      <c r="C37" t="s">
        <v>14</v>
      </c>
      <c r="D37">
        <v>22026</v>
      </c>
      <c r="E37">
        <v>2</v>
      </c>
      <c r="F37" s="7">
        <v>45399</v>
      </c>
      <c r="G37" t="s">
        <v>17</v>
      </c>
      <c r="H37">
        <f t="shared" si="0"/>
        <v>44052</v>
      </c>
    </row>
    <row r="38" spans="1:8" x14ac:dyDescent="0.3">
      <c r="A38">
        <v>37</v>
      </c>
      <c r="B38" t="s">
        <v>9</v>
      </c>
      <c r="C38" t="s">
        <v>13</v>
      </c>
      <c r="D38">
        <v>30119</v>
      </c>
      <c r="E38">
        <v>2</v>
      </c>
      <c r="F38" s="7">
        <v>45294</v>
      </c>
      <c r="G38" t="s">
        <v>16</v>
      </c>
      <c r="H38">
        <f t="shared" si="0"/>
        <v>60238</v>
      </c>
    </row>
    <row r="39" spans="1:8" x14ac:dyDescent="0.3">
      <c r="A39">
        <v>38</v>
      </c>
      <c r="B39" t="s">
        <v>10</v>
      </c>
      <c r="C39" t="s">
        <v>14</v>
      </c>
      <c r="D39">
        <v>41734</v>
      </c>
      <c r="E39">
        <v>4</v>
      </c>
      <c r="F39" s="7">
        <v>45369</v>
      </c>
      <c r="G39" t="s">
        <v>17</v>
      </c>
      <c r="H39">
        <f t="shared" si="0"/>
        <v>166936</v>
      </c>
    </row>
    <row r="40" spans="1:8" x14ac:dyDescent="0.3">
      <c r="A40">
        <v>39</v>
      </c>
      <c r="B40" t="s">
        <v>12</v>
      </c>
      <c r="C40" t="s">
        <v>14</v>
      </c>
      <c r="D40">
        <v>870</v>
      </c>
      <c r="E40">
        <v>5</v>
      </c>
      <c r="F40" s="7">
        <v>45408</v>
      </c>
      <c r="G40" t="s">
        <v>16</v>
      </c>
      <c r="H40">
        <f t="shared" si="0"/>
        <v>4350</v>
      </c>
    </row>
    <row r="41" spans="1:8" x14ac:dyDescent="0.3">
      <c r="A41">
        <v>40</v>
      </c>
      <c r="B41" t="s">
        <v>12</v>
      </c>
      <c r="C41" t="s">
        <v>14</v>
      </c>
      <c r="D41">
        <v>47661</v>
      </c>
      <c r="E41">
        <v>1</v>
      </c>
      <c r="F41" s="7">
        <v>45383</v>
      </c>
      <c r="G41" t="s">
        <v>17</v>
      </c>
      <c r="H41">
        <f t="shared" si="0"/>
        <v>47661</v>
      </c>
    </row>
    <row r="42" spans="1:8" x14ac:dyDescent="0.3">
      <c r="A42">
        <v>41</v>
      </c>
      <c r="B42" t="s">
        <v>11</v>
      </c>
      <c r="C42" t="s">
        <v>13</v>
      </c>
      <c r="D42">
        <v>32565</v>
      </c>
      <c r="E42">
        <v>1</v>
      </c>
      <c r="F42" s="7">
        <v>45336</v>
      </c>
      <c r="G42" t="s">
        <v>17</v>
      </c>
      <c r="H42">
        <f t="shared" si="0"/>
        <v>32565</v>
      </c>
    </row>
    <row r="43" spans="1:8" x14ac:dyDescent="0.3">
      <c r="A43">
        <v>42</v>
      </c>
      <c r="B43" t="s">
        <v>11</v>
      </c>
      <c r="C43" t="s">
        <v>13</v>
      </c>
      <c r="D43">
        <v>22164</v>
      </c>
      <c r="E43">
        <v>5</v>
      </c>
      <c r="F43" s="7">
        <v>45338</v>
      </c>
      <c r="G43" t="s">
        <v>18</v>
      </c>
      <c r="H43">
        <f t="shared" si="0"/>
        <v>110820</v>
      </c>
    </row>
    <row r="44" spans="1:8" x14ac:dyDescent="0.3">
      <c r="A44">
        <v>43</v>
      </c>
      <c r="B44" t="s">
        <v>8</v>
      </c>
      <c r="C44" t="s">
        <v>13</v>
      </c>
      <c r="D44">
        <v>22201</v>
      </c>
      <c r="E44">
        <v>5</v>
      </c>
      <c r="F44" s="7">
        <v>45410</v>
      </c>
      <c r="G44" t="s">
        <v>16</v>
      </c>
      <c r="H44">
        <f t="shared" si="0"/>
        <v>111005</v>
      </c>
    </row>
    <row r="45" spans="1:8" x14ac:dyDescent="0.3">
      <c r="A45">
        <v>44</v>
      </c>
      <c r="B45" t="s">
        <v>10</v>
      </c>
      <c r="C45" t="s">
        <v>15</v>
      </c>
      <c r="D45">
        <v>24260</v>
      </c>
      <c r="E45">
        <v>3</v>
      </c>
      <c r="F45" s="7">
        <v>45312</v>
      </c>
      <c r="G45" t="s">
        <v>18</v>
      </c>
      <c r="H45">
        <f t="shared" si="0"/>
        <v>72780</v>
      </c>
    </row>
    <row r="46" spans="1:8" x14ac:dyDescent="0.3">
      <c r="A46">
        <v>45</v>
      </c>
      <c r="B46" t="s">
        <v>9</v>
      </c>
      <c r="C46" t="s">
        <v>13</v>
      </c>
      <c r="D46">
        <v>24610</v>
      </c>
      <c r="E46">
        <v>2</v>
      </c>
      <c r="F46" s="7">
        <v>45349</v>
      </c>
      <c r="G46" t="s">
        <v>17</v>
      </c>
      <c r="H46">
        <f t="shared" si="0"/>
        <v>49220</v>
      </c>
    </row>
    <row r="47" spans="1:8" x14ac:dyDescent="0.3">
      <c r="A47">
        <v>46</v>
      </c>
      <c r="B47" t="s">
        <v>10</v>
      </c>
      <c r="C47" t="s">
        <v>15</v>
      </c>
      <c r="D47">
        <v>36267</v>
      </c>
      <c r="E47">
        <v>3</v>
      </c>
      <c r="F47" s="7">
        <v>45372</v>
      </c>
      <c r="G47" t="s">
        <v>18</v>
      </c>
      <c r="H47">
        <f t="shared" si="0"/>
        <v>108801</v>
      </c>
    </row>
    <row r="48" spans="1:8" x14ac:dyDescent="0.3">
      <c r="A48">
        <v>47</v>
      </c>
      <c r="B48" t="s">
        <v>11</v>
      </c>
      <c r="C48" t="s">
        <v>14</v>
      </c>
      <c r="D48">
        <v>24403</v>
      </c>
      <c r="E48">
        <v>3</v>
      </c>
      <c r="F48" s="7">
        <v>45407</v>
      </c>
      <c r="G48" t="s">
        <v>18</v>
      </c>
      <c r="H48">
        <f t="shared" si="0"/>
        <v>73209</v>
      </c>
    </row>
    <row r="49" spans="1:8" x14ac:dyDescent="0.3">
      <c r="A49">
        <v>48</v>
      </c>
      <c r="B49" t="s">
        <v>11</v>
      </c>
      <c r="C49" t="s">
        <v>14</v>
      </c>
      <c r="D49">
        <v>6872</v>
      </c>
      <c r="E49">
        <v>2</v>
      </c>
      <c r="F49" s="7">
        <v>45396</v>
      </c>
      <c r="G49" t="s">
        <v>19</v>
      </c>
      <c r="H49">
        <f t="shared" si="0"/>
        <v>13744</v>
      </c>
    </row>
    <row r="50" spans="1:8" x14ac:dyDescent="0.3">
      <c r="A50">
        <v>49</v>
      </c>
      <c r="B50" t="s">
        <v>12</v>
      </c>
      <c r="C50" t="s">
        <v>13</v>
      </c>
      <c r="D50">
        <v>5024</v>
      </c>
      <c r="E50">
        <v>1</v>
      </c>
      <c r="F50" s="7">
        <v>45364</v>
      </c>
      <c r="G50" t="s">
        <v>19</v>
      </c>
      <c r="H50">
        <f t="shared" si="0"/>
        <v>5024</v>
      </c>
    </row>
    <row r="51" spans="1:8" x14ac:dyDescent="0.3">
      <c r="A51">
        <v>50</v>
      </c>
      <c r="B51" t="s">
        <v>7</v>
      </c>
      <c r="C51" t="s">
        <v>13</v>
      </c>
      <c r="D51">
        <v>39801</v>
      </c>
      <c r="E51">
        <v>2</v>
      </c>
      <c r="F51" s="7">
        <v>45402</v>
      </c>
      <c r="G51" t="s">
        <v>18</v>
      </c>
      <c r="H51">
        <f t="shared" si="0"/>
        <v>79602</v>
      </c>
    </row>
    <row r="52" spans="1:8" x14ac:dyDescent="0.3">
      <c r="A52">
        <v>51</v>
      </c>
      <c r="B52" t="s">
        <v>12</v>
      </c>
      <c r="C52" t="s">
        <v>14</v>
      </c>
      <c r="D52">
        <v>3215</v>
      </c>
      <c r="E52">
        <v>4</v>
      </c>
      <c r="F52" s="7">
        <v>45336</v>
      </c>
      <c r="G52" t="s">
        <v>18</v>
      </c>
      <c r="H52">
        <f t="shared" si="0"/>
        <v>12860</v>
      </c>
    </row>
    <row r="53" spans="1:8" x14ac:dyDescent="0.3">
      <c r="A53">
        <v>52</v>
      </c>
      <c r="B53" t="s">
        <v>10</v>
      </c>
      <c r="C53" t="s">
        <v>14</v>
      </c>
      <c r="D53">
        <v>38342</v>
      </c>
      <c r="E53">
        <v>1</v>
      </c>
      <c r="F53" s="7">
        <v>45398</v>
      </c>
      <c r="G53" t="s">
        <v>20</v>
      </c>
      <c r="H53">
        <f t="shared" si="0"/>
        <v>38342</v>
      </c>
    </row>
    <row r="54" spans="1:8" x14ac:dyDescent="0.3">
      <c r="A54">
        <v>53</v>
      </c>
      <c r="B54" t="s">
        <v>9</v>
      </c>
      <c r="C54" t="s">
        <v>14</v>
      </c>
      <c r="D54">
        <v>46666</v>
      </c>
      <c r="E54">
        <v>3</v>
      </c>
      <c r="F54" s="7">
        <v>45342</v>
      </c>
      <c r="G54" t="s">
        <v>20</v>
      </c>
      <c r="H54">
        <f t="shared" si="0"/>
        <v>139998</v>
      </c>
    </row>
    <row r="55" spans="1:8" x14ac:dyDescent="0.3">
      <c r="A55">
        <v>54</v>
      </c>
      <c r="B55" t="s">
        <v>7</v>
      </c>
      <c r="C55" t="s">
        <v>15</v>
      </c>
      <c r="D55">
        <v>42281</v>
      </c>
      <c r="E55">
        <v>1</v>
      </c>
      <c r="F55" s="7">
        <v>45335</v>
      </c>
      <c r="G55" t="s">
        <v>20</v>
      </c>
      <c r="H55">
        <f t="shared" si="0"/>
        <v>42281</v>
      </c>
    </row>
    <row r="56" spans="1:8" x14ac:dyDescent="0.3">
      <c r="A56">
        <v>55</v>
      </c>
      <c r="B56" t="s">
        <v>7</v>
      </c>
      <c r="C56" t="s">
        <v>15</v>
      </c>
      <c r="D56">
        <v>10383</v>
      </c>
      <c r="E56">
        <v>5</v>
      </c>
      <c r="F56" s="7">
        <v>45389</v>
      </c>
      <c r="G56" t="s">
        <v>18</v>
      </c>
      <c r="H56">
        <f t="shared" si="0"/>
        <v>51915</v>
      </c>
    </row>
    <row r="57" spans="1:8" x14ac:dyDescent="0.3">
      <c r="A57">
        <v>56</v>
      </c>
      <c r="B57" t="s">
        <v>11</v>
      </c>
      <c r="C57" t="s">
        <v>13</v>
      </c>
      <c r="D57">
        <v>16221</v>
      </c>
      <c r="E57">
        <v>1</v>
      </c>
      <c r="F57" s="7">
        <v>45303</v>
      </c>
      <c r="G57" t="s">
        <v>18</v>
      </c>
      <c r="H57">
        <f t="shared" si="0"/>
        <v>16221</v>
      </c>
    </row>
    <row r="58" spans="1:8" x14ac:dyDescent="0.3">
      <c r="A58">
        <v>57</v>
      </c>
      <c r="B58" t="s">
        <v>9</v>
      </c>
      <c r="C58" t="s">
        <v>14</v>
      </c>
      <c r="D58">
        <v>25195</v>
      </c>
      <c r="E58">
        <v>4</v>
      </c>
      <c r="F58" s="7">
        <v>45377</v>
      </c>
      <c r="G58" t="s">
        <v>16</v>
      </c>
      <c r="H58">
        <f t="shared" si="0"/>
        <v>100780</v>
      </c>
    </row>
    <row r="59" spans="1:8" x14ac:dyDescent="0.3">
      <c r="A59">
        <v>58</v>
      </c>
      <c r="B59" t="s">
        <v>8</v>
      </c>
      <c r="C59" t="s">
        <v>15</v>
      </c>
      <c r="D59">
        <v>16746</v>
      </c>
      <c r="E59">
        <v>5</v>
      </c>
      <c r="F59" s="7">
        <v>45297</v>
      </c>
      <c r="G59" t="s">
        <v>20</v>
      </c>
      <c r="H59">
        <f t="shared" si="0"/>
        <v>83730</v>
      </c>
    </row>
    <row r="60" spans="1:8" x14ac:dyDescent="0.3">
      <c r="A60">
        <v>59</v>
      </c>
      <c r="B60" t="s">
        <v>11</v>
      </c>
      <c r="C60" t="s">
        <v>14</v>
      </c>
      <c r="D60">
        <v>38300</v>
      </c>
      <c r="E60">
        <v>3</v>
      </c>
      <c r="F60" s="7">
        <v>45384</v>
      </c>
      <c r="G60" t="s">
        <v>16</v>
      </c>
      <c r="H60">
        <f t="shared" si="0"/>
        <v>114900</v>
      </c>
    </row>
    <row r="61" spans="1:8" x14ac:dyDescent="0.3">
      <c r="A61">
        <v>60</v>
      </c>
      <c r="B61" t="s">
        <v>11</v>
      </c>
      <c r="C61" t="s">
        <v>13</v>
      </c>
      <c r="D61">
        <v>19239</v>
      </c>
      <c r="E61">
        <v>4</v>
      </c>
      <c r="F61" s="7">
        <v>45306</v>
      </c>
      <c r="G61" t="s">
        <v>18</v>
      </c>
      <c r="H61">
        <f t="shared" si="0"/>
        <v>76956</v>
      </c>
    </row>
    <row r="62" spans="1:8" x14ac:dyDescent="0.3">
      <c r="A62">
        <v>61</v>
      </c>
      <c r="B62" t="s">
        <v>7</v>
      </c>
      <c r="C62" t="s">
        <v>14</v>
      </c>
      <c r="D62">
        <v>49789</v>
      </c>
      <c r="E62">
        <v>2</v>
      </c>
      <c r="F62" s="7">
        <v>45349</v>
      </c>
      <c r="G62" t="s">
        <v>17</v>
      </c>
      <c r="H62">
        <f t="shared" si="0"/>
        <v>99578</v>
      </c>
    </row>
    <row r="63" spans="1:8" x14ac:dyDescent="0.3">
      <c r="A63">
        <v>62</v>
      </c>
      <c r="B63" t="s">
        <v>11</v>
      </c>
      <c r="C63" t="s">
        <v>13</v>
      </c>
      <c r="D63">
        <v>17309</v>
      </c>
      <c r="E63">
        <v>1</v>
      </c>
      <c r="F63" s="7">
        <v>45356</v>
      </c>
      <c r="G63" t="s">
        <v>18</v>
      </c>
      <c r="H63">
        <f t="shared" si="0"/>
        <v>17309</v>
      </c>
    </row>
    <row r="64" spans="1:8" x14ac:dyDescent="0.3">
      <c r="A64">
        <v>63</v>
      </c>
      <c r="B64" t="s">
        <v>12</v>
      </c>
      <c r="C64" t="s">
        <v>15</v>
      </c>
      <c r="D64">
        <v>33476</v>
      </c>
      <c r="E64">
        <v>3</v>
      </c>
      <c r="F64" s="7">
        <v>45371</v>
      </c>
      <c r="G64" t="s">
        <v>17</v>
      </c>
      <c r="H64">
        <f t="shared" si="0"/>
        <v>100428</v>
      </c>
    </row>
    <row r="65" spans="1:8" x14ac:dyDescent="0.3">
      <c r="A65">
        <v>64</v>
      </c>
      <c r="B65" t="s">
        <v>7</v>
      </c>
      <c r="C65" t="s">
        <v>13</v>
      </c>
      <c r="D65">
        <v>12576</v>
      </c>
      <c r="E65">
        <v>3</v>
      </c>
      <c r="F65" s="7">
        <v>45370</v>
      </c>
      <c r="G65" t="s">
        <v>18</v>
      </c>
      <c r="H65">
        <f t="shared" si="0"/>
        <v>37728</v>
      </c>
    </row>
    <row r="66" spans="1:8" x14ac:dyDescent="0.3">
      <c r="A66">
        <v>65</v>
      </c>
      <c r="B66" t="s">
        <v>9</v>
      </c>
      <c r="C66" t="s">
        <v>15</v>
      </c>
      <c r="D66">
        <v>22520</v>
      </c>
      <c r="E66">
        <v>4</v>
      </c>
      <c r="F66" s="7">
        <v>45351</v>
      </c>
      <c r="G66" t="s">
        <v>20</v>
      </c>
      <c r="H66">
        <f t="shared" si="0"/>
        <v>90080</v>
      </c>
    </row>
    <row r="67" spans="1:8" x14ac:dyDescent="0.3">
      <c r="A67">
        <v>66</v>
      </c>
      <c r="B67" t="s">
        <v>10</v>
      </c>
      <c r="C67" t="s">
        <v>13</v>
      </c>
      <c r="D67">
        <v>20269</v>
      </c>
      <c r="E67">
        <v>2</v>
      </c>
      <c r="F67" s="7">
        <v>45384</v>
      </c>
      <c r="G67" t="s">
        <v>19</v>
      </c>
      <c r="H67">
        <f t="shared" ref="H67:H130" si="1">D67 * E67</f>
        <v>40538</v>
      </c>
    </row>
    <row r="68" spans="1:8" x14ac:dyDescent="0.3">
      <c r="A68">
        <v>67</v>
      </c>
      <c r="B68" t="s">
        <v>11</v>
      </c>
      <c r="C68" t="s">
        <v>14</v>
      </c>
      <c r="D68">
        <v>10377</v>
      </c>
      <c r="E68">
        <v>5</v>
      </c>
      <c r="F68" s="7">
        <v>45382</v>
      </c>
      <c r="G68" t="s">
        <v>17</v>
      </c>
      <c r="H68">
        <f t="shared" si="1"/>
        <v>51885</v>
      </c>
    </row>
    <row r="69" spans="1:8" x14ac:dyDescent="0.3">
      <c r="A69">
        <v>68</v>
      </c>
      <c r="B69" t="s">
        <v>8</v>
      </c>
      <c r="C69" t="s">
        <v>13</v>
      </c>
      <c r="D69">
        <v>37491</v>
      </c>
      <c r="E69">
        <v>3</v>
      </c>
      <c r="F69" s="7">
        <v>45389</v>
      </c>
      <c r="G69" t="s">
        <v>20</v>
      </c>
      <c r="H69">
        <f t="shared" si="1"/>
        <v>112473</v>
      </c>
    </row>
    <row r="70" spans="1:8" x14ac:dyDescent="0.3">
      <c r="A70">
        <v>69</v>
      </c>
      <c r="B70" t="s">
        <v>8</v>
      </c>
      <c r="C70" t="s">
        <v>15</v>
      </c>
      <c r="D70">
        <v>38242</v>
      </c>
      <c r="E70">
        <v>3</v>
      </c>
      <c r="F70" s="7">
        <v>45395</v>
      </c>
      <c r="G70" t="s">
        <v>20</v>
      </c>
      <c r="H70">
        <f t="shared" si="1"/>
        <v>114726</v>
      </c>
    </row>
    <row r="71" spans="1:8" x14ac:dyDescent="0.3">
      <c r="A71">
        <v>70</v>
      </c>
      <c r="B71" t="s">
        <v>7</v>
      </c>
      <c r="C71" t="s">
        <v>14</v>
      </c>
      <c r="D71">
        <v>15270</v>
      </c>
      <c r="E71">
        <v>1</v>
      </c>
      <c r="F71" s="7">
        <v>45293</v>
      </c>
      <c r="G71" t="s">
        <v>20</v>
      </c>
      <c r="H71">
        <f t="shared" si="1"/>
        <v>15270</v>
      </c>
    </row>
    <row r="72" spans="1:8" x14ac:dyDescent="0.3">
      <c r="A72">
        <v>71</v>
      </c>
      <c r="B72" t="s">
        <v>12</v>
      </c>
      <c r="C72" t="s">
        <v>14</v>
      </c>
      <c r="D72">
        <v>46045</v>
      </c>
      <c r="E72">
        <v>1</v>
      </c>
      <c r="F72" s="7">
        <v>45357</v>
      </c>
      <c r="G72" t="s">
        <v>16</v>
      </c>
      <c r="H72">
        <f t="shared" si="1"/>
        <v>46045</v>
      </c>
    </row>
    <row r="73" spans="1:8" x14ac:dyDescent="0.3">
      <c r="A73">
        <v>72</v>
      </c>
      <c r="B73" t="s">
        <v>12</v>
      </c>
      <c r="C73" t="s">
        <v>15</v>
      </c>
      <c r="D73">
        <v>16803</v>
      </c>
      <c r="E73">
        <v>3</v>
      </c>
      <c r="F73" s="7">
        <v>45304</v>
      </c>
      <c r="G73" t="s">
        <v>18</v>
      </c>
      <c r="H73">
        <f t="shared" si="1"/>
        <v>50409</v>
      </c>
    </row>
    <row r="74" spans="1:8" x14ac:dyDescent="0.3">
      <c r="A74">
        <v>73</v>
      </c>
      <c r="B74" t="s">
        <v>8</v>
      </c>
      <c r="C74" t="s">
        <v>15</v>
      </c>
      <c r="D74">
        <v>7379</v>
      </c>
      <c r="E74">
        <v>5</v>
      </c>
      <c r="F74" s="7">
        <v>45313</v>
      </c>
      <c r="G74" t="s">
        <v>20</v>
      </c>
      <c r="H74">
        <f t="shared" si="1"/>
        <v>36895</v>
      </c>
    </row>
    <row r="75" spans="1:8" x14ac:dyDescent="0.3">
      <c r="A75">
        <v>74</v>
      </c>
      <c r="B75" t="s">
        <v>10</v>
      </c>
      <c r="C75" t="s">
        <v>13</v>
      </c>
      <c r="D75">
        <v>21238</v>
      </c>
      <c r="E75">
        <v>1</v>
      </c>
      <c r="F75" s="7">
        <v>45379</v>
      </c>
      <c r="G75" t="s">
        <v>19</v>
      </c>
      <c r="H75">
        <f t="shared" si="1"/>
        <v>21238</v>
      </c>
    </row>
    <row r="76" spans="1:8" x14ac:dyDescent="0.3">
      <c r="A76">
        <v>75</v>
      </c>
      <c r="B76" t="s">
        <v>9</v>
      </c>
      <c r="C76" t="s">
        <v>14</v>
      </c>
      <c r="D76">
        <v>36965</v>
      </c>
      <c r="E76">
        <v>2</v>
      </c>
      <c r="F76" s="7">
        <v>45339</v>
      </c>
      <c r="G76" t="s">
        <v>20</v>
      </c>
      <c r="H76">
        <f t="shared" si="1"/>
        <v>73930</v>
      </c>
    </row>
    <row r="77" spans="1:8" x14ac:dyDescent="0.3">
      <c r="A77">
        <v>76</v>
      </c>
      <c r="B77" t="s">
        <v>10</v>
      </c>
      <c r="C77" t="s">
        <v>13</v>
      </c>
      <c r="D77">
        <v>913</v>
      </c>
      <c r="E77">
        <v>3</v>
      </c>
      <c r="F77" s="7">
        <v>45371</v>
      </c>
      <c r="G77" t="s">
        <v>19</v>
      </c>
      <c r="H77">
        <f t="shared" si="1"/>
        <v>2739</v>
      </c>
    </row>
    <row r="78" spans="1:8" x14ac:dyDescent="0.3">
      <c r="A78">
        <v>77</v>
      </c>
      <c r="B78" t="s">
        <v>9</v>
      </c>
      <c r="C78" t="s">
        <v>13</v>
      </c>
      <c r="D78">
        <v>8345</v>
      </c>
      <c r="E78">
        <v>2</v>
      </c>
      <c r="F78" s="7">
        <v>45348</v>
      </c>
      <c r="G78" t="s">
        <v>18</v>
      </c>
      <c r="H78">
        <f t="shared" si="1"/>
        <v>16690</v>
      </c>
    </row>
    <row r="79" spans="1:8" x14ac:dyDescent="0.3">
      <c r="A79">
        <v>78</v>
      </c>
      <c r="B79" t="s">
        <v>9</v>
      </c>
      <c r="C79" t="s">
        <v>14</v>
      </c>
      <c r="D79">
        <v>49386</v>
      </c>
      <c r="E79">
        <v>4</v>
      </c>
      <c r="F79" s="7">
        <v>45310</v>
      </c>
      <c r="G79" t="s">
        <v>18</v>
      </c>
      <c r="H79">
        <f t="shared" si="1"/>
        <v>197544</v>
      </c>
    </row>
    <row r="80" spans="1:8" x14ac:dyDescent="0.3">
      <c r="A80">
        <v>79</v>
      </c>
      <c r="B80" t="s">
        <v>10</v>
      </c>
      <c r="C80" t="s">
        <v>15</v>
      </c>
      <c r="D80">
        <v>20644</v>
      </c>
      <c r="E80">
        <v>2</v>
      </c>
      <c r="F80" s="7">
        <v>45396</v>
      </c>
      <c r="G80" t="s">
        <v>16</v>
      </c>
      <c r="H80">
        <f t="shared" si="1"/>
        <v>41288</v>
      </c>
    </row>
    <row r="81" spans="1:8" x14ac:dyDescent="0.3">
      <c r="A81">
        <v>80</v>
      </c>
      <c r="B81" t="s">
        <v>12</v>
      </c>
      <c r="C81" t="s">
        <v>15</v>
      </c>
      <c r="D81">
        <v>34734</v>
      </c>
      <c r="E81">
        <v>5</v>
      </c>
      <c r="F81" s="7">
        <v>45354</v>
      </c>
      <c r="G81" t="s">
        <v>16</v>
      </c>
      <c r="H81">
        <f t="shared" si="1"/>
        <v>173670</v>
      </c>
    </row>
    <row r="82" spans="1:8" x14ac:dyDescent="0.3">
      <c r="A82">
        <v>81</v>
      </c>
      <c r="B82" t="s">
        <v>8</v>
      </c>
      <c r="C82" t="s">
        <v>13</v>
      </c>
      <c r="D82">
        <v>33691</v>
      </c>
      <c r="E82">
        <v>2</v>
      </c>
      <c r="F82" s="7">
        <v>45386</v>
      </c>
      <c r="G82" t="s">
        <v>20</v>
      </c>
      <c r="H82">
        <f t="shared" si="1"/>
        <v>67382</v>
      </c>
    </row>
    <row r="83" spans="1:8" x14ac:dyDescent="0.3">
      <c r="A83">
        <v>82</v>
      </c>
      <c r="B83" t="s">
        <v>10</v>
      </c>
      <c r="C83" t="s">
        <v>14</v>
      </c>
      <c r="D83">
        <v>2659</v>
      </c>
      <c r="E83">
        <v>5</v>
      </c>
      <c r="F83" s="7">
        <v>45410</v>
      </c>
      <c r="G83" t="s">
        <v>20</v>
      </c>
      <c r="H83">
        <f t="shared" si="1"/>
        <v>13295</v>
      </c>
    </row>
    <row r="84" spans="1:8" x14ac:dyDescent="0.3">
      <c r="A84">
        <v>83</v>
      </c>
      <c r="B84" t="s">
        <v>10</v>
      </c>
      <c r="C84" t="s">
        <v>13</v>
      </c>
      <c r="D84">
        <v>8122</v>
      </c>
      <c r="E84">
        <v>5</v>
      </c>
      <c r="F84" s="7">
        <v>45356</v>
      </c>
      <c r="G84" t="s">
        <v>18</v>
      </c>
      <c r="H84">
        <f t="shared" si="1"/>
        <v>40610</v>
      </c>
    </row>
    <row r="85" spans="1:8" x14ac:dyDescent="0.3">
      <c r="A85">
        <v>84</v>
      </c>
      <c r="B85" t="s">
        <v>10</v>
      </c>
      <c r="C85" t="s">
        <v>13</v>
      </c>
      <c r="D85">
        <v>36656</v>
      </c>
      <c r="E85">
        <v>3</v>
      </c>
      <c r="F85" s="7">
        <v>45300</v>
      </c>
      <c r="G85" t="s">
        <v>16</v>
      </c>
      <c r="H85">
        <f t="shared" si="1"/>
        <v>109968</v>
      </c>
    </row>
    <row r="86" spans="1:8" x14ac:dyDescent="0.3">
      <c r="A86">
        <v>85</v>
      </c>
      <c r="B86" t="s">
        <v>8</v>
      </c>
      <c r="C86" t="s">
        <v>13</v>
      </c>
      <c r="D86">
        <v>5107</v>
      </c>
      <c r="E86">
        <v>1</v>
      </c>
      <c r="F86" s="7">
        <v>45319</v>
      </c>
      <c r="G86" t="s">
        <v>20</v>
      </c>
      <c r="H86">
        <f t="shared" si="1"/>
        <v>5107</v>
      </c>
    </row>
    <row r="87" spans="1:8" x14ac:dyDescent="0.3">
      <c r="A87">
        <v>86</v>
      </c>
      <c r="B87" t="s">
        <v>12</v>
      </c>
      <c r="C87" t="s">
        <v>13</v>
      </c>
      <c r="D87">
        <v>47261</v>
      </c>
      <c r="E87">
        <v>5</v>
      </c>
      <c r="F87" s="7">
        <v>45329</v>
      </c>
      <c r="G87" t="s">
        <v>20</v>
      </c>
      <c r="H87">
        <f t="shared" si="1"/>
        <v>236305</v>
      </c>
    </row>
    <row r="88" spans="1:8" x14ac:dyDescent="0.3">
      <c r="A88">
        <v>87</v>
      </c>
      <c r="B88" t="s">
        <v>12</v>
      </c>
      <c r="C88" t="s">
        <v>15</v>
      </c>
      <c r="D88">
        <v>33475</v>
      </c>
      <c r="E88">
        <v>3</v>
      </c>
      <c r="F88" s="7">
        <v>45410</v>
      </c>
      <c r="G88" t="s">
        <v>16</v>
      </c>
      <c r="H88">
        <f t="shared" si="1"/>
        <v>100425</v>
      </c>
    </row>
    <row r="89" spans="1:8" x14ac:dyDescent="0.3">
      <c r="A89">
        <v>88</v>
      </c>
      <c r="B89" t="s">
        <v>8</v>
      </c>
      <c r="C89" t="s">
        <v>14</v>
      </c>
      <c r="D89">
        <v>40285</v>
      </c>
      <c r="E89">
        <v>5</v>
      </c>
      <c r="F89" s="7">
        <v>45373</v>
      </c>
      <c r="G89" t="s">
        <v>20</v>
      </c>
      <c r="H89">
        <f t="shared" si="1"/>
        <v>201425</v>
      </c>
    </row>
    <row r="90" spans="1:8" x14ac:dyDescent="0.3">
      <c r="A90">
        <v>89</v>
      </c>
      <c r="B90" t="s">
        <v>10</v>
      </c>
      <c r="C90" t="s">
        <v>13</v>
      </c>
      <c r="D90">
        <v>27356</v>
      </c>
      <c r="E90">
        <v>3</v>
      </c>
      <c r="F90" s="7">
        <v>45307</v>
      </c>
      <c r="G90" t="s">
        <v>18</v>
      </c>
      <c r="H90">
        <f t="shared" si="1"/>
        <v>82068</v>
      </c>
    </row>
    <row r="91" spans="1:8" x14ac:dyDescent="0.3">
      <c r="A91">
        <v>90</v>
      </c>
      <c r="B91" t="s">
        <v>11</v>
      </c>
      <c r="C91" t="s">
        <v>13</v>
      </c>
      <c r="D91">
        <v>30236</v>
      </c>
      <c r="E91">
        <v>1</v>
      </c>
      <c r="F91" s="7">
        <v>45308</v>
      </c>
      <c r="G91" t="s">
        <v>17</v>
      </c>
      <c r="H91">
        <f t="shared" si="1"/>
        <v>30236</v>
      </c>
    </row>
    <row r="92" spans="1:8" x14ac:dyDescent="0.3">
      <c r="A92">
        <v>91</v>
      </c>
      <c r="B92" t="s">
        <v>11</v>
      </c>
      <c r="C92" t="s">
        <v>13</v>
      </c>
      <c r="D92">
        <v>3523</v>
      </c>
      <c r="E92">
        <v>3</v>
      </c>
      <c r="F92" s="7">
        <v>45336</v>
      </c>
      <c r="G92" t="s">
        <v>19</v>
      </c>
      <c r="H92">
        <f t="shared" si="1"/>
        <v>10569</v>
      </c>
    </row>
    <row r="93" spans="1:8" x14ac:dyDescent="0.3">
      <c r="A93">
        <v>92</v>
      </c>
      <c r="B93" t="s">
        <v>9</v>
      </c>
      <c r="C93" t="s">
        <v>14</v>
      </c>
      <c r="D93">
        <v>34091</v>
      </c>
      <c r="E93">
        <v>2</v>
      </c>
      <c r="F93" s="7">
        <v>45373</v>
      </c>
      <c r="G93" t="s">
        <v>20</v>
      </c>
      <c r="H93">
        <f t="shared" si="1"/>
        <v>68182</v>
      </c>
    </row>
    <row r="94" spans="1:8" x14ac:dyDescent="0.3">
      <c r="A94">
        <v>93</v>
      </c>
      <c r="B94" t="s">
        <v>8</v>
      </c>
      <c r="C94" t="s">
        <v>15</v>
      </c>
      <c r="D94">
        <v>12946</v>
      </c>
      <c r="E94">
        <v>1</v>
      </c>
      <c r="F94" s="7">
        <v>45400</v>
      </c>
      <c r="G94" t="s">
        <v>19</v>
      </c>
      <c r="H94">
        <f t="shared" si="1"/>
        <v>12946</v>
      </c>
    </row>
    <row r="95" spans="1:8" x14ac:dyDescent="0.3">
      <c r="A95">
        <v>94</v>
      </c>
      <c r="B95" t="s">
        <v>11</v>
      </c>
      <c r="C95" t="s">
        <v>14</v>
      </c>
      <c r="D95">
        <v>42625</v>
      </c>
      <c r="E95">
        <v>1</v>
      </c>
      <c r="F95" s="7">
        <v>45293</v>
      </c>
      <c r="G95" t="s">
        <v>17</v>
      </c>
      <c r="H95">
        <f t="shared" si="1"/>
        <v>42625</v>
      </c>
    </row>
    <row r="96" spans="1:8" x14ac:dyDescent="0.3">
      <c r="A96">
        <v>95</v>
      </c>
      <c r="B96" t="s">
        <v>12</v>
      </c>
      <c r="C96" t="s">
        <v>15</v>
      </c>
      <c r="D96">
        <v>15665</v>
      </c>
      <c r="E96">
        <v>4</v>
      </c>
      <c r="F96" s="7">
        <v>45324</v>
      </c>
      <c r="G96" t="s">
        <v>19</v>
      </c>
      <c r="H96">
        <f t="shared" si="1"/>
        <v>62660</v>
      </c>
    </row>
    <row r="97" spans="1:8" x14ac:dyDescent="0.3">
      <c r="A97">
        <v>96</v>
      </c>
      <c r="B97" t="s">
        <v>11</v>
      </c>
      <c r="C97" t="s">
        <v>14</v>
      </c>
      <c r="D97">
        <v>36752</v>
      </c>
      <c r="E97">
        <v>4</v>
      </c>
      <c r="F97" s="7">
        <v>45383</v>
      </c>
      <c r="G97" t="s">
        <v>16</v>
      </c>
      <c r="H97">
        <f t="shared" si="1"/>
        <v>147008</v>
      </c>
    </row>
    <row r="98" spans="1:8" x14ac:dyDescent="0.3">
      <c r="A98">
        <v>97</v>
      </c>
      <c r="B98" t="s">
        <v>10</v>
      </c>
      <c r="C98" t="s">
        <v>15</v>
      </c>
      <c r="D98">
        <v>23802</v>
      </c>
      <c r="E98">
        <v>5</v>
      </c>
      <c r="F98" s="7">
        <v>45387</v>
      </c>
      <c r="G98" t="s">
        <v>18</v>
      </c>
      <c r="H98">
        <f t="shared" si="1"/>
        <v>119010</v>
      </c>
    </row>
    <row r="99" spans="1:8" x14ac:dyDescent="0.3">
      <c r="A99">
        <v>98</v>
      </c>
      <c r="B99" t="s">
        <v>7</v>
      </c>
      <c r="C99" t="s">
        <v>14</v>
      </c>
      <c r="D99">
        <v>27410</v>
      </c>
      <c r="E99">
        <v>2</v>
      </c>
      <c r="F99" s="7">
        <v>45337</v>
      </c>
      <c r="G99" t="s">
        <v>17</v>
      </c>
      <c r="H99">
        <f t="shared" si="1"/>
        <v>54820</v>
      </c>
    </row>
    <row r="100" spans="1:8" x14ac:dyDescent="0.3">
      <c r="A100">
        <v>99</v>
      </c>
      <c r="B100" t="s">
        <v>8</v>
      </c>
      <c r="C100" t="s">
        <v>14</v>
      </c>
      <c r="D100">
        <v>43044</v>
      </c>
      <c r="E100">
        <v>4</v>
      </c>
      <c r="F100" s="7">
        <v>45403</v>
      </c>
      <c r="G100" t="s">
        <v>19</v>
      </c>
      <c r="H100">
        <f t="shared" si="1"/>
        <v>172176</v>
      </c>
    </row>
    <row r="101" spans="1:8" x14ac:dyDescent="0.3">
      <c r="A101">
        <v>100</v>
      </c>
      <c r="B101" t="s">
        <v>8</v>
      </c>
      <c r="C101" t="s">
        <v>15</v>
      </c>
      <c r="D101">
        <v>16208</v>
      </c>
      <c r="E101">
        <v>2</v>
      </c>
      <c r="F101" s="7">
        <v>45346</v>
      </c>
      <c r="G101" t="s">
        <v>16</v>
      </c>
      <c r="H101">
        <f t="shared" si="1"/>
        <v>32416</v>
      </c>
    </row>
    <row r="102" spans="1:8" x14ac:dyDescent="0.3">
      <c r="A102">
        <v>101</v>
      </c>
      <c r="B102" t="s">
        <v>8</v>
      </c>
      <c r="C102" t="s">
        <v>15</v>
      </c>
      <c r="D102">
        <v>30190</v>
      </c>
      <c r="E102">
        <v>2</v>
      </c>
      <c r="F102" s="7">
        <v>45381</v>
      </c>
      <c r="G102" t="s">
        <v>17</v>
      </c>
      <c r="H102">
        <f t="shared" si="1"/>
        <v>60380</v>
      </c>
    </row>
    <row r="103" spans="1:8" x14ac:dyDescent="0.3">
      <c r="A103">
        <v>102</v>
      </c>
      <c r="B103" t="s">
        <v>8</v>
      </c>
      <c r="C103" t="s">
        <v>14</v>
      </c>
      <c r="D103">
        <v>30020</v>
      </c>
      <c r="E103">
        <v>1</v>
      </c>
      <c r="F103" s="7">
        <v>45389</v>
      </c>
      <c r="G103" t="s">
        <v>17</v>
      </c>
      <c r="H103">
        <f t="shared" si="1"/>
        <v>30020</v>
      </c>
    </row>
    <row r="104" spans="1:8" x14ac:dyDescent="0.3">
      <c r="A104">
        <v>103</v>
      </c>
      <c r="B104" t="s">
        <v>10</v>
      </c>
      <c r="C104" t="s">
        <v>14</v>
      </c>
      <c r="D104">
        <v>17911</v>
      </c>
      <c r="E104">
        <v>5</v>
      </c>
      <c r="F104" s="7">
        <v>45337</v>
      </c>
      <c r="G104" t="s">
        <v>18</v>
      </c>
      <c r="H104">
        <f t="shared" si="1"/>
        <v>89555</v>
      </c>
    </row>
    <row r="105" spans="1:8" x14ac:dyDescent="0.3">
      <c r="A105">
        <v>104</v>
      </c>
      <c r="B105" t="s">
        <v>11</v>
      </c>
      <c r="C105" t="s">
        <v>13</v>
      </c>
      <c r="D105">
        <v>27342</v>
      </c>
      <c r="E105">
        <v>4</v>
      </c>
      <c r="F105" s="7">
        <v>45339</v>
      </c>
      <c r="G105" t="s">
        <v>20</v>
      </c>
      <c r="H105">
        <f t="shared" si="1"/>
        <v>109368</v>
      </c>
    </row>
    <row r="106" spans="1:8" x14ac:dyDescent="0.3">
      <c r="A106">
        <v>105</v>
      </c>
      <c r="B106" t="s">
        <v>10</v>
      </c>
      <c r="C106" t="s">
        <v>13</v>
      </c>
      <c r="D106">
        <v>9614</v>
      </c>
      <c r="E106">
        <v>5</v>
      </c>
      <c r="F106" s="7">
        <v>45299</v>
      </c>
      <c r="G106" t="s">
        <v>16</v>
      </c>
      <c r="H106">
        <f t="shared" si="1"/>
        <v>48070</v>
      </c>
    </row>
    <row r="107" spans="1:8" x14ac:dyDescent="0.3">
      <c r="A107">
        <v>106</v>
      </c>
      <c r="B107" t="s">
        <v>9</v>
      </c>
      <c r="C107" t="s">
        <v>13</v>
      </c>
      <c r="D107">
        <v>19165</v>
      </c>
      <c r="E107">
        <v>1</v>
      </c>
      <c r="F107" s="7">
        <v>45332</v>
      </c>
      <c r="G107" t="s">
        <v>19</v>
      </c>
      <c r="H107">
        <f t="shared" si="1"/>
        <v>19165</v>
      </c>
    </row>
    <row r="108" spans="1:8" x14ac:dyDescent="0.3">
      <c r="A108">
        <v>107</v>
      </c>
      <c r="B108" t="s">
        <v>11</v>
      </c>
      <c r="C108" t="s">
        <v>15</v>
      </c>
      <c r="D108">
        <v>19093</v>
      </c>
      <c r="E108">
        <v>3</v>
      </c>
      <c r="F108" s="7">
        <v>45331</v>
      </c>
      <c r="G108" t="s">
        <v>18</v>
      </c>
      <c r="H108">
        <f t="shared" si="1"/>
        <v>57279</v>
      </c>
    </row>
    <row r="109" spans="1:8" x14ac:dyDescent="0.3">
      <c r="A109">
        <v>108</v>
      </c>
      <c r="B109" t="s">
        <v>11</v>
      </c>
      <c r="C109" t="s">
        <v>15</v>
      </c>
      <c r="D109">
        <v>24159</v>
      </c>
      <c r="E109">
        <v>4</v>
      </c>
      <c r="F109" s="7">
        <v>45359</v>
      </c>
      <c r="G109" t="s">
        <v>19</v>
      </c>
      <c r="H109">
        <f t="shared" si="1"/>
        <v>96636</v>
      </c>
    </row>
    <row r="110" spans="1:8" x14ac:dyDescent="0.3">
      <c r="A110">
        <v>109</v>
      </c>
      <c r="B110" t="s">
        <v>10</v>
      </c>
      <c r="C110" t="s">
        <v>13</v>
      </c>
      <c r="D110">
        <v>18873</v>
      </c>
      <c r="E110">
        <v>1</v>
      </c>
      <c r="F110" s="7">
        <v>45383</v>
      </c>
      <c r="G110" t="s">
        <v>20</v>
      </c>
      <c r="H110">
        <f t="shared" si="1"/>
        <v>18873</v>
      </c>
    </row>
    <row r="111" spans="1:8" x14ac:dyDescent="0.3">
      <c r="A111">
        <v>110</v>
      </c>
      <c r="B111" t="s">
        <v>12</v>
      </c>
      <c r="C111" t="s">
        <v>15</v>
      </c>
      <c r="D111">
        <v>15710</v>
      </c>
      <c r="E111">
        <v>3</v>
      </c>
      <c r="F111" s="7">
        <v>45374</v>
      </c>
      <c r="G111" t="s">
        <v>16</v>
      </c>
      <c r="H111">
        <f t="shared" si="1"/>
        <v>47130</v>
      </c>
    </row>
    <row r="112" spans="1:8" x14ac:dyDescent="0.3">
      <c r="A112">
        <v>111</v>
      </c>
      <c r="B112" t="s">
        <v>8</v>
      </c>
      <c r="C112" t="s">
        <v>14</v>
      </c>
      <c r="D112">
        <v>49116</v>
      </c>
      <c r="E112">
        <v>4</v>
      </c>
      <c r="F112" s="7">
        <v>45354</v>
      </c>
      <c r="G112" t="s">
        <v>17</v>
      </c>
      <c r="H112">
        <f t="shared" si="1"/>
        <v>196464</v>
      </c>
    </row>
    <row r="113" spans="1:8" x14ac:dyDescent="0.3">
      <c r="A113">
        <v>112</v>
      </c>
      <c r="B113" t="s">
        <v>12</v>
      </c>
      <c r="C113" t="s">
        <v>14</v>
      </c>
      <c r="D113">
        <v>19943</v>
      </c>
      <c r="E113">
        <v>4</v>
      </c>
      <c r="F113" s="7">
        <v>45367</v>
      </c>
      <c r="G113" t="s">
        <v>18</v>
      </c>
      <c r="H113">
        <f t="shared" si="1"/>
        <v>79772</v>
      </c>
    </row>
    <row r="114" spans="1:8" x14ac:dyDescent="0.3">
      <c r="A114">
        <v>113</v>
      </c>
      <c r="B114" t="s">
        <v>10</v>
      </c>
      <c r="C114" t="s">
        <v>14</v>
      </c>
      <c r="D114">
        <v>9007</v>
      </c>
      <c r="E114">
        <v>2</v>
      </c>
      <c r="F114" s="7">
        <v>45356</v>
      </c>
      <c r="G114" t="s">
        <v>20</v>
      </c>
      <c r="H114">
        <f t="shared" si="1"/>
        <v>18014</v>
      </c>
    </row>
    <row r="115" spans="1:8" x14ac:dyDescent="0.3">
      <c r="A115">
        <v>114</v>
      </c>
      <c r="B115" t="s">
        <v>7</v>
      </c>
      <c r="C115" t="s">
        <v>13</v>
      </c>
      <c r="D115">
        <v>38362</v>
      </c>
      <c r="E115">
        <v>5</v>
      </c>
      <c r="F115" s="7">
        <v>45398</v>
      </c>
      <c r="G115" t="s">
        <v>18</v>
      </c>
      <c r="H115">
        <f t="shared" si="1"/>
        <v>191810</v>
      </c>
    </row>
    <row r="116" spans="1:8" x14ac:dyDescent="0.3">
      <c r="A116">
        <v>115</v>
      </c>
      <c r="B116" t="s">
        <v>7</v>
      </c>
      <c r="C116" t="s">
        <v>14</v>
      </c>
      <c r="D116">
        <v>15335</v>
      </c>
      <c r="E116">
        <v>1</v>
      </c>
      <c r="F116" s="7">
        <v>45377</v>
      </c>
      <c r="G116" t="s">
        <v>17</v>
      </c>
      <c r="H116">
        <f t="shared" si="1"/>
        <v>15335</v>
      </c>
    </row>
    <row r="117" spans="1:8" x14ac:dyDescent="0.3">
      <c r="A117">
        <v>116</v>
      </c>
      <c r="B117" t="s">
        <v>9</v>
      </c>
      <c r="C117" t="s">
        <v>13</v>
      </c>
      <c r="D117">
        <v>42348</v>
      </c>
      <c r="E117">
        <v>2</v>
      </c>
      <c r="F117" s="7">
        <v>45306</v>
      </c>
      <c r="G117" t="s">
        <v>20</v>
      </c>
      <c r="H117">
        <f t="shared" si="1"/>
        <v>84696</v>
      </c>
    </row>
    <row r="118" spans="1:8" x14ac:dyDescent="0.3">
      <c r="A118">
        <v>117</v>
      </c>
      <c r="B118" t="s">
        <v>12</v>
      </c>
      <c r="C118" t="s">
        <v>14</v>
      </c>
      <c r="D118">
        <v>42196</v>
      </c>
      <c r="E118">
        <v>1</v>
      </c>
      <c r="F118" s="7">
        <v>45306</v>
      </c>
      <c r="G118" t="s">
        <v>20</v>
      </c>
      <c r="H118">
        <f t="shared" si="1"/>
        <v>42196</v>
      </c>
    </row>
    <row r="119" spans="1:8" x14ac:dyDescent="0.3">
      <c r="A119">
        <v>118</v>
      </c>
      <c r="B119" t="s">
        <v>10</v>
      </c>
      <c r="C119" t="s">
        <v>15</v>
      </c>
      <c r="D119">
        <v>3362</v>
      </c>
      <c r="E119">
        <v>4</v>
      </c>
      <c r="F119" s="7">
        <v>45337</v>
      </c>
      <c r="G119" t="s">
        <v>19</v>
      </c>
      <c r="H119">
        <f t="shared" si="1"/>
        <v>13448</v>
      </c>
    </row>
    <row r="120" spans="1:8" x14ac:dyDescent="0.3">
      <c r="A120">
        <v>119</v>
      </c>
      <c r="B120" t="s">
        <v>12</v>
      </c>
      <c r="C120" t="s">
        <v>14</v>
      </c>
      <c r="D120">
        <v>13438</v>
      </c>
      <c r="E120">
        <v>5</v>
      </c>
      <c r="F120" s="7">
        <v>45405</v>
      </c>
      <c r="G120" t="s">
        <v>18</v>
      </c>
      <c r="H120">
        <f t="shared" si="1"/>
        <v>67190</v>
      </c>
    </row>
    <row r="121" spans="1:8" x14ac:dyDescent="0.3">
      <c r="A121">
        <v>120</v>
      </c>
      <c r="B121" t="s">
        <v>9</v>
      </c>
      <c r="C121" t="s">
        <v>15</v>
      </c>
      <c r="D121">
        <v>49663</v>
      </c>
      <c r="E121">
        <v>3</v>
      </c>
      <c r="F121" s="7">
        <v>45356</v>
      </c>
      <c r="G121" t="s">
        <v>19</v>
      </c>
      <c r="H121">
        <f t="shared" si="1"/>
        <v>148989</v>
      </c>
    </row>
    <row r="122" spans="1:8" x14ac:dyDescent="0.3">
      <c r="A122">
        <v>121</v>
      </c>
      <c r="B122" t="s">
        <v>11</v>
      </c>
      <c r="C122" t="s">
        <v>14</v>
      </c>
      <c r="D122">
        <v>14473</v>
      </c>
      <c r="E122">
        <v>2</v>
      </c>
      <c r="F122" s="7">
        <v>45390</v>
      </c>
      <c r="G122" t="s">
        <v>19</v>
      </c>
      <c r="H122">
        <f t="shared" si="1"/>
        <v>28946</v>
      </c>
    </row>
    <row r="123" spans="1:8" x14ac:dyDescent="0.3">
      <c r="A123">
        <v>122</v>
      </c>
      <c r="B123" t="s">
        <v>9</v>
      </c>
      <c r="C123" t="s">
        <v>14</v>
      </c>
      <c r="D123">
        <v>42655</v>
      </c>
      <c r="E123">
        <v>2</v>
      </c>
      <c r="F123" s="7">
        <v>45350</v>
      </c>
      <c r="G123" t="s">
        <v>18</v>
      </c>
      <c r="H123">
        <f t="shared" si="1"/>
        <v>85310</v>
      </c>
    </row>
    <row r="124" spans="1:8" x14ac:dyDescent="0.3">
      <c r="A124">
        <v>123</v>
      </c>
      <c r="B124" t="s">
        <v>10</v>
      </c>
      <c r="C124" t="s">
        <v>13</v>
      </c>
      <c r="D124">
        <v>36418</v>
      </c>
      <c r="E124">
        <v>2</v>
      </c>
      <c r="F124" s="7">
        <v>45315</v>
      </c>
      <c r="G124" t="s">
        <v>18</v>
      </c>
      <c r="H124">
        <f t="shared" si="1"/>
        <v>72836</v>
      </c>
    </row>
    <row r="125" spans="1:8" x14ac:dyDescent="0.3">
      <c r="A125">
        <v>124</v>
      </c>
      <c r="B125" t="s">
        <v>9</v>
      </c>
      <c r="C125" t="s">
        <v>14</v>
      </c>
      <c r="D125">
        <v>4483</v>
      </c>
      <c r="E125">
        <v>5</v>
      </c>
      <c r="F125" s="7">
        <v>45365</v>
      </c>
      <c r="G125" t="s">
        <v>18</v>
      </c>
      <c r="H125">
        <f t="shared" si="1"/>
        <v>22415</v>
      </c>
    </row>
    <row r="126" spans="1:8" x14ac:dyDescent="0.3">
      <c r="A126">
        <v>125</v>
      </c>
      <c r="B126" t="s">
        <v>9</v>
      </c>
      <c r="C126" t="s">
        <v>14</v>
      </c>
      <c r="D126">
        <v>39701</v>
      </c>
      <c r="E126">
        <v>4</v>
      </c>
      <c r="F126" s="7">
        <v>45316</v>
      </c>
      <c r="G126" t="s">
        <v>17</v>
      </c>
      <c r="H126">
        <f t="shared" si="1"/>
        <v>158804</v>
      </c>
    </row>
    <row r="127" spans="1:8" x14ac:dyDescent="0.3">
      <c r="A127">
        <v>126</v>
      </c>
      <c r="B127" t="s">
        <v>10</v>
      </c>
      <c r="C127" t="s">
        <v>13</v>
      </c>
      <c r="D127">
        <v>32049</v>
      </c>
      <c r="E127">
        <v>5</v>
      </c>
      <c r="F127" s="7">
        <v>45336</v>
      </c>
      <c r="G127" t="s">
        <v>17</v>
      </c>
      <c r="H127">
        <f t="shared" si="1"/>
        <v>160245</v>
      </c>
    </row>
    <row r="128" spans="1:8" x14ac:dyDescent="0.3">
      <c r="A128">
        <v>127</v>
      </c>
      <c r="B128" t="s">
        <v>10</v>
      </c>
      <c r="C128" t="s">
        <v>13</v>
      </c>
      <c r="D128">
        <v>7545</v>
      </c>
      <c r="E128">
        <v>4</v>
      </c>
      <c r="F128" s="7">
        <v>45362</v>
      </c>
      <c r="G128" t="s">
        <v>20</v>
      </c>
      <c r="H128">
        <f t="shared" si="1"/>
        <v>30180</v>
      </c>
    </row>
    <row r="129" spans="1:8" x14ac:dyDescent="0.3">
      <c r="A129">
        <v>128</v>
      </c>
      <c r="B129" t="s">
        <v>9</v>
      </c>
      <c r="C129" t="s">
        <v>13</v>
      </c>
      <c r="D129">
        <v>42636</v>
      </c>
      <c r="E129">
        <v>4</v>
      </c>
      <c r="F129" s="7">
        <v>45341</v>
      </c>
      <c r="G129" t="s">
        <v>16</v>
      </c>
      <c r="H129">
        <f t="shared" si="1"/>
        <v>170544</v>
      </c>
    </row>
    <row r="130" spans="1:8" x14ac:dyDescent="0.3">
      <c r="A130">
        <v>129</v>
      </c>
      <c r="B130" t="s">
        <v>12</v>
      </c>
      <c r="C130" t="s">
        <v>13</v>
      </c>
      <c r="D130">
        <v>28281</v>
      </c>
      <c r="E130">
        <v>3</v>
      </c>
      <c r="F130" s="7">
        <v>45338</v>
      </c>
      <c r="G130" t="s">
        <v>17</v>
      </c>
      <c r="H130">
        <f t="shared" si="1"/>
        <v>84843</v>
      </c>
    </row>
    <row r="131" spans="1:8" x14ac:dyDescent="0.3">
      <c r="A131">
        <v>130</v>
      </c>
      <c r="B131" t="s">
        <v>11</v>
      </c>
      <c r="C131" t="s">
        <v>14</v>
      </c>
      <c r="D131">
        <v>23739</v>
      </c>
      <c r="E131">
        <v>2</v>
      </c>
      <c r="F131" s="7">
        <v>45382</v>
      </c>
      <c r="G131" t="s">
        <v>19</v>
      </c>
      <c r="H131">
        <f t="shared" ref="H131:H194" si="2">D131 * E131</f>
        <v>47478</v>
      </c>
    </row>
    <row r="132" spans="1:8" x14ac:dyDescent="0.3">
      <c r="A132">
        <v>131</v>
      </c>
      <c r="B132" t="s">
        <v>11</v>
      </c>
      <c r="C132" t="s">
        <v>15</v>
      </c>
      <c r="D132">
        <v>44239</v>
      </c>
      <c r="E132">
        <v>2</v>
      </c>
      <c r="F132" s="7">
        <v>45410</v>
      </c>
      <c r="G132" t="s">
        <v>20</v>
      </c>
      <c r="H132">
        <f t="shared" si="2"/>
        <v>88478</v>
      </c>
    </row>
    <row r="133" spans="1:8" x14ac:dyDescent="0.3">
      <c r="A133">
        <v>132</v>
      </c>
      <c r="B133" t="s">
        <v>11</v>
      </c>
      <c r="C133" t="s">
        <v>13</v>
      </c>
      <c r="D133">
        <v>11700</v>
      </c>
      <c r="E133">
        <v>5</v>
      </c>
      <c r="F133" s="7">
        <v>45391</v>
      </c>
      <c r="G133" t="s">
        <v>17</v>
      </c>
      <c r="H133">
        <f t="shared" si="2"/>
        <v>58500</v>
      </c>
    </row>
    <row r="134" spans="1:8" x14ac:dyDescent="0.3">
      <c r="A134">
        <v>133</v>
      </c>
      <c r="B134" t="s">
        <v>11</v>
      </c>
      <c r="C134" t="s">
        <v>13</v>
      </c>
      <c r="D134">
        <v>20500</v>
      </c>
      <c r="E134">
        <v>2</v>
      </c>
      <c r="F134" s="7">
        <v>45398</v>
      </c>
      <c r="G134" t="s">
        <v>20</v>
      </c>
      <c r="H134">
        <f t="shared" si="2"/>
        <v>41000</v>
      </c>
    </row>
    <row r="135" spans="1:8" x14ac:dyDescent="0.3">
      <c r="A135">
        <v>134</v>
      </c>
      <c r="B135" t="s">
        <v>8</v>
      </c>
      <c r="C135" t="s">
        <v>15</v>
      </c>
      <c r="D135">
        <v>47470</v>
      </c>
      <c r="E135">
        <v>4</v>
      </c>
      <c r="F135" s="7">
        <v>45379</v>
      </c>
      <c r="G135" t="s">
        <v>20</v>
      </c>
      <c r="H135">
        <f t="shared" si="2"/>
        <v>189880</v>
      </c>
    </row>
    <row r="136" spans="1:8" x14ac:dyDescent="0.3">
      <c r="A136">
        <v>135</v>
      </c>
      <c r="B136" t="s">
        <v>12</v>
      </c>
      <c r="C136" t="s">
        <v>14</v>
      </c>
      <c r="D136">
        <v>46988</v>
      </c>
      <c r="E136">
        <v>4</v>
      </c>
      <c r="F136" s="7">
        <v>45401</v>
      </c>
      <c r="G136" t="s">
        <v>20</v>
      </c>
      <c r="H136">
        <f t="shared" si="2"/>
        <v>187952</v>
      </c>
    </row>
    <row r="137" spans="1:8" x14ac:dyDescent="0.3">
      <c r="A137">
        <v>136</v>
      </c>
      <c r="B137" t="s">
        <v>9</v>
      </c>
      <c r="C137" t="s">
        <v>14</v>
      </c>
      <c r="D137">
        <v>32567</v>
      </c>
      <c r="E137">
        <v>3</v>
      </c>
      <c r="F137" s="7">
        <v>45325</v>
      </c>
      <c r="G137" t="s">
        <v>17</v>
      </c>
      <c r="H137">
        <f t="shared" si="2"/>
        <v>97701</v>
      </c>
    </row>
    <row r="138" spans="1:8" x14ac:dyDescent="0.3">
      <c r="A138">
        <v>137</v>
      </c>
      <c r="B138" t="s">
        <v>7</v>
      </c>
      <c r="C138" t="s">
        <v>15</v>
      </c>
      <c r="D138">
        <v>24016</v>
      </c>
      <c r="E138">
        <v>3</v>
      </c>
      <c r="F138" s="7">
        <v>45380</v>
      </c>
      <c r="G138" t="s">
        <v>19</v>
      </c>
      <c r="H138">
        <f t="shared" si="2"/>
        <v>72048</v>
      </c>
    </row>
    <row r="139" spans="1:8" x14ac:dyDescent="0.3">
      <c r="A139">
        <v>138</v>
      </c>
      <c r="B139" t="s">
        <v>12</v>
      </c>
      <c r="C139" t="s">
        <v>14</v>
      </c>
      <c r="D139">
        <v>49964</v>
      </c>
      <c r="E139">
        <v>5</v>
      </c>
      <c r="F139" s="7">
        <v>45366</v>
      </c>
      <c r="G139" t="s">
        <v>18</v>
      </c>
      <c r="H139">
        <f t="shared" si="2"/>
        <v>249820</v>
      </c>
    </row>
    <row r="140" spans="1:8" x14ac:dyDescent="0.3">
      <c r="A140">
        <v>139</v>
      </c>
      <c r="B140" t="s">
        <v>10</v>
      </c>
      <c r="C140" t="s">
        <v>13</v>
      </c>
      <c r="D140">
        <v>1668</v>
      </c>
      <c r="E140">
        <v>4</v>
      </c>
      <c r="F140" s="7">
        <v>45399</v>
      </c>
      <c r="G140" t="s">
        <v>16</v>
      </c>
      <c r="H140">
        <f t="shared" si="2"/>
        <v>6672</v>
      </c>
    </row>
    <row r="141" spans="1:8" x14ac:dyDescent="0.3">
      <c r="A141">
        <v>140</v>
      </c>
      <c r="B141" t="s">
        <v>8</v>
      </c>
      <c r="C141" t="s">
        <v>14</v>
      </c>
      <c r="D141">
        <v>49599</v>
      </c>
      <c r="E141">
        <v>5</v>
      </c>
      <c r="F141" s="7">
        <v>45339</v>
      </c>
      <c r="G141" t="s">
        <v>19</v>
      </c>
      <c r="H141">
        <f t="shared" si="2"/>
        <v>247995</v>
      </c>
    </row>
    <row r="142" spans="1:8" x14ac:dyDescent="0.3">
      <c r="A142">
        <v>141</v>
      </c>
      <c r="B142" t="s">
        <v>7</v>
      </c>
      <c r="C142" t="s">
        <v>14</v>
      </c>
      <c r="D142">
        <v>37835</v>
      </c>
      <c r="E142">
        <v>2</v>
      </c>
      <c r="F142" s="7">
        <v>45385</v>
      </c>
      <c r="G142" t="s">
        <v>19</v>
      </c>
      <c r="H142">
        <f t="shared" si="2"/>
        <v>75670</v>
      </c>
    </row>
    <row r="143" spans="1:8" x14ac:dyDescent="0.3">
      <c r="A143">
        <v>142</v>
      </c>
      <c r="B143" t="s">
        <v>10</v>
      </c>
      <c r="C143" t="s">
        <v>13</v>
      </c>
      <c r="D143">
        <v>21948</v>
      </c>
      <c r="E143">
        <v>1</v>
      </c>
      <c r="F143" s="7">
        <v>45407</v>
      </c>
      <c r="G143" t="s">
        <v>17</v>
      </c>
      <c r="H143">
        <f t="shared" si="2"/>
        <v>21948</v>
      </c>
    </row>
    <row r="144" spans="1:8" x14ac:dyDescent="0.3">
      <c r="A144">
        <v>143</v>
      </c>
      <c r="B144" t="s">
        <v>9</v>
      </c>
      <c r="C144" t="s">
        <v>13</v>
      </c>
      <c r="D144">
        <v>31159</v>
      </c>
      <c r="E144">
        <v>4</v>
      </c>
      <c r="F144" s="7">
        <v>45391</v>
      </c>
      <c r="G144" t="s">
        <v>17</v>
      </c>
      <c r="H144">
        <f t="shared" si="2"/>
        <v>124636</v>
      </c>
    </row>
    <row r="145" spans="1:8" x14ac:dyDescent="0.3">
      <c r="A145">
        <v>144</v>
      </c>
      <c r="B145" t="s">
        <v>8</v>
      </c>
      <c r="C145" t="s">
        <v>14</v>
      </c>
      <c r="D145">
        <v>46153</v>
      </c>
      <c r="E145">
        <v>5</v>
      </c>
      <c r="F145" s="7">
        <v>45374</v>
      </c>
      <c r="G145" t="s">
        <v>16</v>
      </c>
      <c r="H145">
        <f t="shared" si="2"/>
        <v>230765</v>
      </c>
    </row>
    <row r="146" spans="1:8" x14ac:dyDescent="0.3">
      <c r="A146">
        <v>145</v>
      </c>
      <c r="B146" t="s">
        <v>7</v>
      </c>
      <c r="C146" t="s">
        <v>15</v>
      </c>
      <c r="D146">
        <v>47296</v>
      </c>
      <c r="E146">
        <v>1</v>
      </c>
      <c r="F146" s="7">
        <v>45320</v>
      </c>
      <c r="G146" t="s">
        <v>20</v>
      </c>
      <c r="H146">
        <f t="shared" si="2"/>
        <v>47296</v>
      </c>
    </row>
    <row r="147" spans="1:8" x14ac:dyDescent="0.3">
      <c r="A147">
        <v>146</v>
      </c>
      <c r="B147" t="s">
        <v>11</v>
      </c>
      <c r="C147" t="s">
        <v>15</v>
      </c>
      <c r="D147">
        <v>37716</v>
      </c>
      <c r="E147">
        <v>2</v>
      </c>
      <c r="F147" s="7">
        <v>45347</v>
      </c>
      <c r="G147" t="s">
        <v>17</v>
      </c>
      <c r="H147">
        <f t="shared" si="2"/>
        <v>75432</v>
      </c>
    </row>
    <row r="148" spans="1:8" x14ac:dyDescent="0.3">
      <c r="A148">
        <v>147</v>
      </c>
      <c r="B148" t="s">
        <v>12</v>
      </c>
      <c r="C148" t="s">
        <v>13</v>
      </c>
      <c r="D148">
        <v>23417</v>
      </c>
      <c r="E148">
        <v>1</v>
      </c>
      <c r="F148" s="7">
        <v>45410</v>
      </c>
      <c r="G148" t="s">
        <v>16</v>
      </c>
      <c r="H148">
        <f t="shared" si="2"/>
        <v>23417</v>
      </c>
    </row>
    <row r="149" spans="1:8" x14ac:dyDescent="0.3">
      <c r="A149">
        <v>148</v>
      </c>
      <c r="B149" t="s">
        <v>12</v>
      </c>
      <c r="C149" t="s">
        <v>13</v>
      </c>
      <c r="D149">
        <v>11770</v>
      </c>
      <c r="E149">
        <v>4</v>
      </c>
      <c r="F149" s="7">
        <v>45386</v>
      </c>
      <c r="G149" t="s">
        <v>16</v>
      </c>
      <c r="H149">
        <f t="shared" si="2"/>
        <v>47080</v>
      </c>
    </row>
    <row r="150" spans="1:8" x14ac:dyDescent="0.3">
      <c r="A150">
        <v>149</v>
      </c>
      <c r="B150" t="s">
        <v>7</v>
      </c>
      <c r="C150" t="s">
        <v>13</v>
      </c>
      <c r="D150">
        <v>29320</v>
      </c>
      <c r="E150">
        <v>3</v>
      </c>
      <c r="F150" s="7">
        <v>45389</v>
      </c>
      <c r="G150" t="s">
        <v>20</v>
      </c>
      <c r="H150">
        <f t="shared" si="2"/>
        <v>87960</v>
      </c>
    </row>
    <row r="151" spans="1:8" x14ac:dyDescent="0.3">
      <c r="A151">
        <v>150</v>
      </c>
      <c r="B151" t="s">
        <v>7</v>
      </c>
      <c r="C151" t="s">
        <v>13</v>
      </c>
      <c r="D151">
        <v>28456</v>
      </c>
      <c r="E151">
        <v>2</v>
      </c>
      <c r="F151" s="7">
        <v>45333</v>
      </c>
      <c r="G151" t="s">
        <v>18</v>
      </c>
      <c r="H151">
        <f t="shared" si="2"/>
        <v>56912</v>
      </c>
    </row>
    <row r="152" spans="1:8" x14ac:dyDescent="0.3">
      <c r="A152">
        <v>151</v>
      </c>
      <c r="B152" t="s">
        <v>12</v>
      </c>
      <c r="C152" t="s">
        <v>13</v>
      </c>
      <c r="D152">
        <v>36955</v>
      </c>
      <c r="E152">
        <v>5</v>
      </c>
      <c r="F152" s="7">
        <v>45338</v>
      </c>
      <c r="G152" t="s">
        <v>17</v>
      </c>
      <c r="H152">
        <f t="shared" si="2"/>
        <v>184775</v>
      </c>
    </row>
    <row r="153" spans="1:8" x14ac:dyDescent="0.3">
      <c r="A153">
        <v>152</v>
      </c>
      <c r="B153" t="s">
        <v>7</v>
      </c>
      <c r="C153" t="s">
        <v>13</v>
      </c>
      <c r="D153">
        <v>40020</v>
      </c>
      <c r="E153">
        <v>5</v>
      </c>
      <c r="F153" s="7">
        <v>45409</v>
      </c>
      <c r="G153" t="s">
        <v>20</v>
      </c>
      <c r="H153">
        <f t="shared" si="2"/>
        <v>200100</v>
      </c>
    </row>
    <row r="154" spans="1:8" x14ac:dyDescent="0.3">
      <c r="A154">
        <v>153</v>
      </c>
      <c r="B154" t="s">
        <v>7</v>
      </c>
      <c r="C154" t="s">
        <v>15</v>
      </c>
      <c r="D154">
        <v>49837</v>
      </c>
      <c r="E154">
        <v>4</v>
      </c>
      <c r="F154" s="7">
        <v>45302</v>
      </c>
      <c r="G154" t="s">
        <v>16</v>
      </c>
      <c r="H154">
        <f t="shared" si="2"/>
        <v>199348</v>
      </c>
    </row>
    <row r="155" spans="1:8" x14ac:dyDescent="0.3">
      <c r="A155">
        <v>154</v>
      </c>
      <c r="B155" t="s">
        <v>11</v>
      </c>
      <c r="C155" t="s">
        <v>13</v>
      </c>
      <c r="D155">
        <v>43158</v>
      </c>
      <c r="E155">
        <v>4</v>
      </c>
      <c r="F155" s="7">
        <v>45316</v>
      </c>
      <c r="G155" t="s">
        <v>16</v>
      </c>
      <c r="H155">
        <f t="shared" si="2"/>
        <v>172632</v>
      </c>
    </row>
    <row r="156" spans="1:8" x14ac:dyDescent="0.3">
      <c r="A156">
        <v>155</v>
      </c>
      <c r="B156" t="s">
        <v>9</v>
      </c>
      <c r="C156" t="s">
        <v>15</v>
      </c>
      <c r="D156">
        <v>18762</v>
      </c>
      <c r="E156">
        <v>5</v>
      </c>
      <c r="F156" s="7">
        <v>45348</v>
      </c>
      <c r="G156" t="s">
        <v>19</v>
      </c>
      <c r="H156">
        <f t="shared" si="2"/>
        <v>93810</v>
      </c>
    </row>
    <row r="157" spans="1:8" x14ac:dyDescent="0.3">
      <c r="A157">
        <v>156</v>
      </c>
      <c r="B157" t="s">
        <v>12</v>
      </c>
      <c r="C157" t="s">
        <v>13</v>
      </c>
      <c r="D157">
        <v>21149</v>
      </c>
      <c r="E157">
        <v>3</v>
      </c>
      <c r="F157" s="7">
        <v>45323</v>
      </c>
      <c r="G157" t="s">
        <v>19</v>
      </c>
      <c r="H157">
        <f t="shared" si="2"/>
        <v>63447</v>
      </c>
    </row>
    <row r="158" spans="1:8" x14ac:dyDescent="0.3">
      <c r="A158">
        <v>157</v>
      </c>
      <c r="B158" t="s">
        <v>11</v>
      </c>
      <c r="C158" t="s">
        <v>14</v>
      </c>
      <c r="D158">
        <v>38221</v>
      </c>
      <c r="E158">
        <v>4</v>
      </c>
      <c r="F158" s="7">
        <v>45295</v>
      </c>
      <c r="G158" t="s">
        <v>16</v>
      </c>
      <c r="H158">
        <f t="shared" si="2"/>
        <v>152884</v>
      </c>
    </row>
    <row r="159" spans="1:8" x14ac:dyDescent="0.3">
      <c r="A159">
        <v>158</v>
      </c>
      <c r="B159" t="s">
        <v>10</v>
      </c>
      <c r="C159" t="s">
        <v>13</v>
      </c>
      <c r="D159">
        <v>45108</v>
      </c>
      <c r="E159">
        <v>3</v>
      </c>
      <c r="F159" s="7">
        <v>45395</v>
      </c>
      <c r="G159" t="s">
        <v>20</v>
      </c>
      <c r="H159">
        <f t="shared" si="2"/>
        <v>135324</v>
      </c>
    </row>
    <row r="160" spans="1:8" x14ac:dyDescent="0.3">
      <c r="A160">
        <v>159</v>
      </c>
      <c r="B160" t="s">
        <v>7</v>
      </c>
      <c r="C160" t="s">
        <v>14</v>
      </c>
      <c r="D160">
        <v>20025</v>
      </c>
      <c r="E160">
        <v>1</v>
      </c>
      <c r="F160" s="7">
        <v>45360</v>
      </c>
      <c r="G160" t="s">
        <v>19</v>
      </c>
      <c r="H160">
        <f t="shared" si="2"/>
        <v>20025</v>
      </c>
    </row>
    <row r="161" spans="1:8" x14ac:dyDescent="0.3">
      <c r="A161">
        <v>160</v>
      </c>
      <c r="B161" t="s">
        <v>9</v>
      </c>
      <c r="C161" t="s">
        <v>13</v>
      </c>
      <c r="D161">
        <v>27059</v>
      </c>
      <c r="E161">
        <v>4</v>
      </c>
      <c r="F161" s="7">
        <v>45362</v>
      </c>
      <c r="G161" t="s">
        <v>17</v>
      </c>
      <c r="H161">
        <f t="shared" si="2"/>
        <v>108236</v>
      </c>
    </row>
    <row r="162" spans="1:8" x14ac:dyDescent="0.3">
      <c r="A162">
        <v>161</v>
      </c>
      <c r="B162" t="s">
        <v>11</v>
      </c>
      <c r="C162" t="s">
        <v>13</v>
      </c>
      <c r="D162">
        <v>38045</v>
      </c>
      <c r="E162">
        <v>5</v>
      </c>
      <c r="F162" s="7">
        <v>45342</v>
      </c>
      <c r="G162" t="s">
        <v>16</v>
      </c>
      <c r="H162">
        <f t="shared" si="2"/>
        <v>190225</v>
      </c>
    </row>
    <row r="163" spans="1:8" x14ac:dyDescent="0.3">
      <c r="A163">
        <v>162</v>
      </c>
      <c r="B163" t="s">
        <v>10</v>
      </c>
      <c r="C163" t="s">
        <v>14</v>
      </c>
      <c r="D163">
        <v>27692</v>
      </c>
      <c r="E163">
        <v>1</v>
      </c>
      <c r="F163" s="7">
        <v>45352</v>
      </c>
      <c r="G163" t="s">
        <v>18</v>
      </c>
      <c r="H163">
        <f t="shared" si="2"/>
        <v>27692</v>
      </c>
    </row>
    <row r="164" spans="1:8" x14ac:dyDescent="0.3">
      <c r="A164">
        <v>163</v>
      </c>
      <c r="B164" t="s">
        <v>12</v>
      </c>
      <c r="C164" t="s">
        <v>15</v>
      </c>
      <c r="D164">
        <v>21441</v>
      </c>
      <c r="E164">
        <v>1</v>
      </c>
      <c r="F164" s="7">
        <v>45352</v>
      </c>
      <c r="G164" t="s">
        <v>20</v>
      </c>
      <c r="H164">
        <f t="shared" si="2"/>
        <v>21441</v>
      </c>
    </row>
    <row r="165" spans="1:8" x14ac:dyDescent="0.3">
      <c r="A165">
        <v>164</v>
      </c>
      <c r="B165" t="s">
        <v>9</v>
      </c>
      <c r="C165" t="s">
        <v>13</v>
      </c>
      <c r="D165">
        <v>7703</v>
      </c>
      <c r="E165">
        <v>3</v>
      </c>
      <c r="F165" s="7">
        <v>45299</v>
      </c>
      <c r="G165" t="s">
        <v>16</v>
      </c>
      <c r="H165">
        <f t="shared" si="2"/>
        <v>23109</v>
      </c>
    </row>
    <row r="166" spans="1:8" x14ac:dyDescent="0.3">
      <c r="A166">
        <v>165</v>
      </c>
      <c r="B166" t="s">
        <v>9</v>
      </c>
      <c r="C166" t="s">
        <v>13</v>
      </c>
      <c r="D166">
        <v>49561</v>
      </c>
      <c r="E166">
        <v>4</v>
      </c>
      <c r="F166" s="7">
        <v>45386</v>
      </c>
      <c r="G166" t="s">
        <v>20</v>
      </c>
      <c r="H166">
        <f t="shared" si="2"/>
        <v>198244</v>
      </c>
    </row>
    <row r="167" spans="1:8" x14ac:dyDescent="0.3">
      <c r="A167">
        <v>166</v>
      </c>
      <c r="B167" t="s">
        <v>12</v>
      </c>
      <c r="C167" t="s">
        <v>14</v>
      </c>
      <c r="D167">
        <v>6437</v>
      </c>
      <c r="E167">
        <v>2</v>
      </c>
      <c r="F167" s="7">
        <v>45320</v>
      </c>
      <c r="G167" t="s">
        <v>20</v>
      </c>
      <c r="H167">
        <f t="shared" si="2"/>
        <v>12874</v>
      </c>
    </row>
    <row r="168" spans="1:8" x14ac:dyDescent="0.3">
      <c r="A168">
        <v>167</v>
      </c>
      <c r="B168" t="s">
        <v>8</v>
      </c>
      <c r="C168" t="s">
        <v>15</v>
      </c>
      <c r="D168">
        <v>41628</v>
      </c>
      <c r="E168">
        <v>1</v>
      </c>
      <c r="F168" s="7">
        <v>45296</v>
      </c>
      <c r="G168" t="s">
        <v>18</v>
      </c>
      <c r="H168">
        <f t="shared" si="2"/>
        <v>41628</v>
      </c>
    </row>
    <row r="169" spans="1:8" x14ac:dyDescent="0.3">
      <c r="A169">
        <v>168</v>
      </c>
      <c r="B169" t="s">
        <v>10</v>
      </c>
      <c r="C169" t="s">
        <v>13</v>
      </c>
      <c r="D169">
        <v>49448</v>
      </c>
      <c r="E169">
        <v>2</v>
      </c>
      <c r="F169" s="7">
        <v>45378</v>
      </c>
      <c r="G169" t="s">
        <v>19</v>
      </c>
      <c r="H169">
        <f t="shared" si="2"/>
        <v>98896</v>
      </c>
    </row>
    <row r="170" spans="1:8" x14ac:dyDescent="0.3">
      <c r="A170">
        <v>169</v>
      </c>
      <c r="B170" t="s">
        <v>10</v>
      </c>
      <c r="C170" t="s">
        <v>14</v>
      </c>
      <c r="D170">
        <v>29122</v>
      </c>
      <c r="E170">
        <v>3</v>
      </c>
      <c r="F170" s="7">
        <v>45337</v>
      </c>
      <c r="G170" t="s">
        <v>20</v>
      </c>
      <c r="H170">
        <f t="shared" si="2"/>
        <v>87366</v>
      </c>
    </row>
    <row r="171" spans="1:8" x14ac:dyDescent="0.3">
      <c r="A171">
        <v>170</v>
      </c>
      <c r="B171" t="s">
        <v>10</v>
      </c>
      <c r="C171" t="s">
        <v>14</v>
      </c>
      <c r="D171">
        <v>2447</v>
      </c>
      <c r="E171">
        <v>5</v>
      </c>
      <c r="F171" s="7">
        <v>45333</v>
      </c>
      <c r="G171" t="s">
        <v>17</v>
      </c>
      <c r="H171">
        <f t="shared" si="2"/>
        <v>12235</v>
      </c>
    </row>
    <row r="172" spans="1:8" x14ac:dyDescent="0.3">
      <c r="A172">
        <v>171</v>
      </c>
      <c r="B172" t="s">
        <v>7</v>
      </c>
      <c r="C172" t="s">
        <v>14</v>
      </c>
      <c r="D172">
        <v>19452</v>
      </c>
      <c r="E172">
        <v>1</v>
      </c>
      <c r="F172" s="7">
        <v>45299</v>
      </c>
      <c r="G172" t="s">
        <v>17</v>
      </c>
      <c r="H172">
        <f t="shared" si="2"/>
        <v>19452</v>
      </c>
    </row>
    <row r="173" spans="1:8" x14ac:dyDescent="0.3">
      <c r="A173">
        <v>172</v>
      </c>
      <c r="B173" t="s">
        <v>12</v>
      </c>
      <c r="C173" t="s">
        <v>14</v>
      </c>
      <c r="D173">
        <v>47731</v>
      </c>
      <c r="E173">
        <v>5</v>
      </c>
      <c r="F173" s="7">
        <v>45412</v>
      </c>
      <c r="G173" t="s">
        <v>18</v>
      </c>
      <c r="H173">
        <f t="shared" si="2"/>
        <v>238655</v>
      </c>
    </row>
    <row r="174" spans="1:8" x14ac:dyDescent="0.3">
      <c r="A174">
        <v>173</v>
      </c>
      <c r="B174" t="s">
        <v>9</v>
      </c>
      <c r="C174" t="s">
        <v>14</v>
      </c>
      <c r="D174">
        <v>1020</v>
      </c>
      <c r="E174">
        <v>5</v>
      </c>
      <c r="F174" s="7">
        <v>45404</v>
      </c>
      <c r="G174" t="s">
        <v>20</v>
      </c>
      <c r="H174">
        <f t="shared" si="2"/>
        <v>5100</v>
      </c>
    </row>
    <row r="175" spans="1:8" x14ac:dyDescent="0.3">
      <c r="A175">
        <v>174</v>
      </c>
      <c r="B175" t="s">
        <v>9</v>
      </c>
      <c r="C175" t="s">
        <v>15</v>
      </c>
      <c r="D175">
        <v>10752</v>
      </c>
      <c r="E175">
        <v>3</v>
      </c>
      <c r="F175" s="7">
        <v>45372</v>
      </c>
      <c r="G175" t="s">
        <v>19</v>
      </c>
      <c r="H175">
        <f t="shared" si="2"/>
        <v>32256</v>
      </c>
    </row>
    <row r="176" spans="1:8" x14ac:dyDescent="0.3">
      <c r="A176">
        <v>175</v>
      </c>
      <c r="B176" t="s">
        <v>11</v>
      </c>
      <c r="C176" t="s">
        <v>15</v>
      </c>
      <c r="D176">
        <v>1735</v>
      </c>
      <c r="E176">
        <v>3</v>
      </c>
      <c r="F176" s="7">
        <v>45316</v>
      </c>
      <c r="G176" t="s">
        <v>16</v>
      </c>
      <c r="H176">
        <f t="shared" si="2"/>
        <v>5205</v>
      </c>
    </row>
    <row r="177" spans="1:8" x14ac:dyDescent="0.3">
      <c r="A177">
        <v>176</v>
      </c>
      <c r="B177" t="s">
        <v>9</v>
      </c>
      <c r="C177" t="s">
        <v>14</v>
      </c>
      <c r="D177">
        <v>32614</v>
      </c>
      <c r="E177">
        <v>3</v>
      </c>
      <c r="F177" s="7">
        <v>45311</v>
      </c>
      <c r="G177" t="s">
        <v>19</v>
      </c>
      <c r="H177">
        <f t="shared" si="2"/>
        <v>97842</v>
      </c>
    </row>
    <row r="178" spans="1:8" x14ac:dyDescent="0.3">
      <c r="A178">
        <v>177</v>
      </c>
      <c r="B178" t="s">
        <v>9</v>
      </c>
      <c r="C178" t="s">
        <v>14</v>
      </c>
      <c r="D178">
        <v>49753</v>
      </c>
      <c r="E178">
        <v>1</v>
      </c>
      <c r="F178" s="7">
        <v>45317</v>
      </c>
      <c r="G178" t="s">
        <v>19</v>
      </c>
      <c r="H178">
        <f t="shared" si="2"/>
        <v>49753</v>
      </c>
    </row>
    <row r="179" spans="1:8" x14ac:dyDescent="0.3">
      <c r="A179">
        <v>178</v>
      </c>
      <c r="B179" t="s">
        <v>9</v>
      </c>
      <c r="C179" t="s">
        <v>15</v>
      </c>
      <c r="D179">
        <v>15219</v>
      </c>
      <c r="E179">
        <v>1</v>
      </c>
      <c r="F179" s="7">
        <v>45314</v>
      </c>
      <c r="G179" t="s">
        <v>20</v>
      </c>
      <c r="H179">
        <f t="shared" si="2"/>
        <v>15219</v>
      </c>
    </row>
    <row r="180" spans="1:8" x14ac:dyDescent="0.3">
      <c r="A180">
        <v>179</v>
      </c>
      <c r="B180" t="s">
        <v>9</v>
      </c>
      <c r="C180" t="s">
        <v>14</v>
      </c>
      <c r="D180">
        <v>38280</v>
      </c>
      <c r="E180">
        <v>4</v>
      </c>
      <c r="F180" s="7">
        <v>45343</v>
      </c>
      <c r="G180" t="s">
        <v>16</v>
      </c>
      <c r="H180">
        <f t="shared" si="2"/>
        <v>153120</v>
      </c>
    </row>
    <row r="181" spans="1:8" x14ac:dyDescent="0.3">
      <c r="A181">
        <v>180</v>
      </c>
      <c r="B181" t="s">
        <v>12</v>
      </c>
      <c r="C181" t="s">
        <v>13</v>
      </c>
      <c r="D181">
        <v>43681</v>
      </c>
      <c r="E181">
        <v>1</v>
      </c>
      <c r="F181" s="7">
        <v>45368</v>
      </c>
      <c r="G181" t="s">
        <v>17</v>
      </c>
      <c r="H181">
        <f t="shared" si="2"/>
        <v>43681</v>
      </c>
    </row>
    <row r="182" spans="1:8" x14ac:dyDescent="0.3">
      <c r="A182">
        <v>181</v>
      </c>
      <c r="B182" t="s">
        <v>10</v>
      </c>
      <c r="C182" t="s">
        <v>14</v>
      </c>
      <c r="D182">
        <v>22534</v>
      </c>
      <c r="E182">
        <v>4</v>
      </c>
      <c r="F182" s="7">
        <v>45370</v>
      </c>
      <c r="G182" t="s">
        <v>16</v>
      </c>
      <c r="H182">
        <f t="shared" si="2"/>
        <v>90136</v>
      </c>
    </row>
    <row r="183" spans="1:8" x14ac:dyDescent="0.3">
      <c r="A183">
        <v>182</v>
      </c>
      <c r="B183" t="s">
        <v>7</v>
      </c>
      <c r="C183" t="s">
        <v>14</v>
      </c>
      <c r="D183">
        <v>13342</v>
      </c>
      <c r="E183">
        <v>5</v>
      </c>
      <c r="F183" s="7">
        <v>45358</v>
      </c>
      <c r="G183" t="s">
        <v>19</v>
      </c>
      <c r="H183">
        <f t="shared" si="2"/>
        <v>66710</v>
      </c>
    </row>
    <row r="184" spans="1:8" x14ac:dyDescent="0.3">
      <c r="A184">
        <v>183</v>
      </c>
      <c r="B184" t="s">
        <v>10</v>
      </c>
      <c r="C184" t="s">
        <v>14</v>
      </c>
      <c r="D184">
        <v>30800</v>
      </c>
      <c r="E184">
        <v>3</v>
      </c>
      <c r="F184" s="7">
        <v>45359</v>
      </c>
      <c r="G184" t="s">
        <v>20</v>
      </c>
      <c r="H184">
        <f t="shared" si="2"/>
        <v>92400</v>
      </c>
    </row>
    <row r="185" spans="1:8" x14ac:dyDescent="0.3">
      <c r="A185">
        <v>184</v>
      </c>
      <c r="B185" t="s">
        <v>10</v>
      </c>
      <c r="C185" t="s">
        <v>13</v>
      </c>
      <c r="D185">
        <v>4461</v>
      </c>
      <c r="E185">
        <v>5</v>
      </c>
      <c r="F185" s="7">
        <v>45406</v>
      </c>
      <c r="G185" t="s">
        <v>18</v>
      </c>
      <c r="H185">
        <f t="shared" si="2"/>
        <v>22305</v>
      </c>
    </row>
    <row r="186" spans="1:8" x14ac:dyDescent="0.3">
      <c r="A186">
        <v>185</v>
      </c>
      <c r="B186" t="s">
        <v>10</v>
      </c>
      <c r="C186" t="s">
        <v>15</v>
      </c>
      <c r="D186">
        <v>23115</v>
      </c>
      <c r="E186">
        <v>1</v>
      </c>
      <c r="F186" s="7">
        <v>45392</v>
      </c>
      <c r="G186" t="s">
        <v>18</v>
      </c>
      <c r="H186">
        <f t="shared" si="2"/>
        <v>23115</v>
      </c>
    </row>
    <row r="187" spans="1:8" x14ac:dyDescent="0.3">
      <c r="A187">
        <v>186</v>
      </c>
      <c r="B187" t="s">
        <v>12</v>
      </c>
      <c r="C187" t="s">
        <v>14</v>
      </c>
      <c r="D187">
        <v>12101</v>
      </c>
      <c r="E187">
        <v>4</v>
      </c>
      <c r="F187" s="7">
        <v>45316</v>
      </c>
      <c r="G187" t="s">
        <v>17</v>
      </c>
      <c r="H187">
        <f t="shared" si="2"/>
        <v>48404</v>
      </c>
    </row>
    <row r="188" spans="1:8" x14ac:dyDescent="0.3">
      <c r="A188">
        <v>187</v>
      </c>
      <c r="B188" t="s">
        <v>11</v>
      </c>
      <c r="C188" t="s">
        <v>13</v>
      </c>
      <c r="D188">
        <v>18960</v>
      </c>
      <c r="E188">
        <v>2</v>
      </c>
      <c r="F188" s="7">
        <v>45303</v>
      </c>
      <c r="G188" t="s">
        <v>17</v>
      </c>
      <c r="H188">
        <f t="shared" si="2"/>
        <v>37920</v>
      </c>
    </row>
    <row r="189" spans="1:8" x14ac:dyDescent="0.3">
      <c r="A189">
        <v>188</v>
      </c>
      <c r="B189" t="s">
        <v>9</v>
      </c>
      <c r="C189" t="s">
        <v>13</v>
      </c>
      <c r="D189">
        <v>47049</v>
      </c>
      <c r="E189">
        <v>5</v>
      </c>
      <c r="F189" s="7">
        <v>45406</v>
      </c>
      <c r="G189" t="s">
        <v>20</v>
      </c>
      <c r="H189">
        <f t="shared" si="2"/>
        <v>235245</v>
      </c>
    </row>
    <row r="190" spans="1:8" x14ac:dyDescent="0.3">
      <c r="A190">
        <v>189</v>
      </c>
      <c r="B190" t="s">
        <v>10</v>
      </c>
      <c r="C190" t="s">
        <v>13</v>
      </c>
      <c r="D190">
        <v>17056</v>
      </c>
      <c r="E190">
        <v>4</v>
      </c>
      <c r="F190" s="7">
        <v>45406</v>
      </c>
      <c r="G190" t="s">
        <v>16</v>
      </c>
      <c r="H190">
        <f t="shared" si="2"/>
        <v>68224</v>
      </c>
    </row>
    <row r="191" spans="1:8" x14ac:dyDescent="0.3">
      <c r="A191">
        <v>190</v>
      </c>
      <c r="B191" t="s">
        <v>10</v>
      </c>
      <c r="C191" t="s">
        <v>15</v>
      </c>
      <c r="D191">
        <v>29706</v>
      </c>
      <c r="E191">
        <v>4</v>
      </c>
      <c r="F191" s="7">
        <v>45311</v>
      </c>
      <c r="G191" t="s">
        <v>20</v>
      </c>
      <c r="H191">
        <f t="shared" si="2"/>
        <v>118824</v>
      </c>
    </row>
    <row r="192" spans="1:8" x14ac:dyDescent="0.3">
      <c r="A192">
        <v>191</v>
      </c>
      <c r="B192" t="s">
        <v>7</v>
      </c>
      <c r="C192" t="s">
        <v>14</v>
      </c>
      <c r="D192">
        <v>7439</v>
      </c>
      <c r="E192">
        <v>2</v>
      </c>
      <c r="F192" s="7">
        <v>45338</v>
      </c>
      <c r="G192" t="s">
        <v>18</v>
      </c>
      <c r="H192">
        <f t="shared" si="2"/>
        <v>14878</v>
      </c>
    </row>
    <row r="193" spans="1:8" x14ac:dyDescent="0.3">
      <c r="A193">
        <v>192</v>
      </c>
      <c r="B193" t="s">
        <v>7</v>
      </c>
      <c r="C193" t="s">
        <v>13</v>
      </c>
      <c r="D193">
        <v>26501</v>
      </c>
      <c r="E193">
        <v>5</v>
      </c>
      <c r="F193" s="7">
        <v>45404</v>
      </c>
      <c r="G193" t="s">
        <v>20</v>
      </c>
      <c r="H193">
        <f t="shared" si="2"/>
        <v>132505</v>
      </c>
    </row>
    <row r="194" spans="1:8" x14ac:dyDescent="0.3">
      <c r="A194">
        <v>193</v>
      </c>
      <c r="B194" t="s">
        <v>8</v>
      </c>
      <c r="C194" t="s">
        <v>13</v>
      </c>
      <c r="D194">
        <v>25867</v>
      </c>
      <c r="E194">
        <v>4</v>
      </c>
      <c r="F194" s="7">
        <v>45372</v>
      </c>
      <c r="G194" t="s">
        <v>19</v>
      </c>
      <c r="H194">
        <f t="shared" si="2"/>
        <v>103468</v>
      </c>
    </row>
    <row r="195" spans="1:8" x14ac:dyDescent="0.3">
      <c r="A195">
        <v>194</v>
      </c>
      <c r="B195" t="s">
        <v>9</v>
      </c>
      <c r="C195" t="s">
        <v>14</v>
      </c>
      <c r="D195">
        <v>26830</v>
      </c>
      <c r="E195">
        <v>3</v>
      </c>
      <c r="F195" s="7">
        <v>45342</v>
      </c>
      <c r="G195" t="s">
        <v>18</v>
      </c>
      <c r="H195">
        <f t="shared" ref="H195:H258" si="3">D195 * E195</f>
        <v>80490</v>
      </c>
    </row>
    <row r="196" spans="1:8" x14ac:dyDescent="0.3">
      <c r="A196">
        <v>195</v>
      </c>
      <c r="B196" t="s">
        <v>12</v>
      </c>
      <c r="C196" t="s">
        <v>15</v>
      </c>
      <c r="D196">
        <v>5647</v>
      </c>
      <c r="E196">
        <v>3</v>
      </c>
      <c r="F196" s="7">
        <v>45327</v>
      </c>
      <c r="G196" t="s">
        <v>18</v>
      </c>
      <c r="H196">
        <f t="shared" si="3"/>
        <v>16941</v>
      </c>
    </row>
    <row r="197" spans="1:8" x14ac:dyDescent="0.3">
      <c r="A197">
        <v>196</v>
      </c>
      <c r="B197" t="s">
        <v>8</v>
      </c>
      <c r="C197" t="s">
        <v>15</v>
      </c>
      <c r="D197">
        <v>36068</v>
      </c>
      <c r="E197">
        <v>1</v>
      </c>
      <c r="F197" s="7">
        <v>45341</v>
      </c>
      <c r="G197" t="s">
        <v>20</v>
      </c>
      <c r="H197">
        <f t="shared" si="3"/>
        <v>36068</v>
      </c>
    </row>
    <row r="198" spans="1:8" x14ac:dyDescent="0.3">
      <c r="A198">
        <v>197</v>
      </c>
      <c r="B198" t="s">
        <v>7</v>
      </c>
      <c r="C198" t="s">
        <v>14</v>
      </c>
      <c r="D198">
        <v>18163</v>
      </c>
      <c r="E198">
        <v>5</v>
      </c>
      <c r="F198" s="7">
        <v>45393</v>
      </c>
      <c r="G198" t="s">
        <v>16</v>
      </c>
      <c r="H198">
        <f t="shared" si="3"/>
        <v>90815</v>
      </c>
    </row>
    <row r="199" spans="1:8" x14ac:dyDescent="0.3">
      <c r="A199">
        <v>198</v>
      </c>
      <c r="B199" t="s">
        <v>9</v>
      </c>
      <c r="C199" t="s">
        <v>15</v>
      </c>
      <c r="D199">
        <v>11703</v>
      </c>
      <c r="E199">
        <v>5</v>
      </c>
      <c r="F199" s="7">
        <v>45330</v>
      </c>
      <c r="G199" t="s">
        <v>18</v>
      </c>
      <c r="H199">
        <f t="shared" si="3"/>
        <v>58515</v>
      </c>
    </row>
    <row r="200" spans="1:8" x14ac:dyDescent="0.3">
      <c r="A200">
        <v>199</v>
      </c>
      <c r="B200" t="s">
        <v>9</v>
      </c>
      <c r="C200" t="s">
        <v>14</v>
      </c>
      <c r="D200">
        <v>32393</v>
      </c>
      <c r="E200">
        <v>5</v>
      </c>
      <c r="F200" s="7">
        <v>45363</v>
      </c>
      <c r="G200" t="s">
        <v>20</v>
      </c>
      <c r="H200">
        <f t="shared" si="3"/>
        <v>161965</v>
      </c>
    </row>
    <row r="201" spans="1:8" x14ac:dyDescent="0.3">
      <c r="A201">
        <v>200</v>
      </c>
      <c r="B201" t="s">
        <v>8</v>
      </c>
      <c r="C201" t="s">
        <v>15</v>
      </c>
      <c r="D201">
        <v>28449</v>
      </c>
      <c r="E201">
        <v>5</v>
      </c>
      <c r="F201" s="7">
        <v>45358</v>
      </c>
      <c r="G201" t="s">
        <v>18</v>
      </c>
      <c r="H201">
        <f t="shared" si="3"/>
        <v>142245</v>
      </c>
    </row>
    <row r="202" spans="1:8" x14ac:dyDescent="0.3">
      <c r="A202">
        <v>201</v>
      </c>
      <c r="B202" t="s">
        <v>7</v>
      </c>
      <c r="C202" t="s">
        <v>13</v>
      </c>
      <c r="D202">
        <v>22591</v>
      </c>
      <c r="E202">
        <v>2</v>
      </c>
      <c r="F202" s="7">
        <v>45349</v>
      </c>
      <c r="G202" t="s">
        <v>20</v>
      </c>
      <c r="H202">
        <f t="shared" si="3"/>
        <v>45182</v>
      </c>
    </row>
    <row r="203" spans="1:8" x14ac:dyDescent="0.3">
      <c r="A203">
        <v>202</v>
      </c>
      <c r="B203" t="s">
        <v>7</v>
      </c>
      <c r="C203" t="s">
        <v>14</v>
      </c>
      <c r="D203">
        <v>33971</v>
      </c>
      <c r="E203">
        <v>1</v>
      </c>
      <c r="F203" s="7">
        <v>45400</v>
      </c>
      <c r="G203" t="s">
        <v>18</v>
      </c>
      <c r="H203">
        <f t="shared" si="3"/>
        <v>33971</v>
      </c>
    </row>
    <row r="204" spans="1:8" x14ac:dyDescent="0.3">
      <c r="A204">
        <v>203</v>
      </c>
      <c r="B204" t="s">
        <v>9</v>
      </c>
      <c r="C204" t="s">
        <v>13</v>
      </c>
      <c r="D204">
        <v>15173</v>
      </c>
      <c r="E204">
        <v>5</v>
      </c>
      <c r="F204" s="7">
        <v>45303</v>
      </c>
      <c r="G204" t="s">
        <v>20</v>
      </c>
      <c r="H204">
        <f t="shared" si="3"/>
        <v>75865</v>
      </c>
    </row>
    <row r="205" spans="1:8" x14ac:dyDescent="0.3">
      <c r="A205">
        <v>204</v>
      </c>
      <c r="B205" t="s">
        <v>7</v>
      </c>
      <c r="C205" t="s">
        <v>15</v>
      </c>
      <c r="D205">
        <v>31008</v>
      </c>
      <c r="E205">
        <v>2</v>
      </c>
      <c r="F205" s="7">
        <v>45339</v>
      </c>
      <c r="G205" t="s">
        <v>17</v>
      </c>
      <c r="H205">
        <f t="shared" si="3"/>
        <v>62016</v>
      </c>
    </row>
    <row r="206" spans="1:8" x14ac:dyDescent="0.3">
      <c r="A206">
        <v>205</v>
      </c>
      <c r="B206" t="s">
        <v>11</v>
      </c>
      <c r="C206" t="s">
        <v>15</v>
      </c>
      <c r="D206">
        <v>8948</v>
      </c>
      <c r="E206">
        <v>3</v>
      </c>
      <c r="F206" s="7">
        <v>45302</v>
      </c>
      <c r="G206" t="s">
        <v>17</v>
      </c>
      <c r="H206">
        <f t="shared" si="3"/>
        <v>26844</v>
      </c>
    </row>
    <row r="207" spans="1:8" x14ac:dyDescent="0.3">
      <c r="A207">
        <v>206</v>
      </c>
      <c r="B207" t="s">
        <v>7</v>
      </c>
      <c r="C207" t="s">
        <v>14</v>
      </c>
      <c r="D207">
        <v>37061</v>
      </c>
      <c r="E207">
        <v>1</v>
      </c>
      <c r="F207" s="7">
        <v>45319</v>
      </c>
      <c r="G207" t="s">
        <v>18</v>
      </c>
      <c r="H207">
        <f t="shared" si="3"/>
        <v>37061</v>
      </c>
    </row>
    <row r="208" spans="1:8" x14ac:dyDescent="0.3">
      <c r="A208">
        <v>207</v>
      </c>
      <c r="B208" t="s">
        <v>9</v>
      </c>
      <c r="C208" t="s">
        <v>14</v>
      </c>
      <c r="D208">
        <v>47931</v>
      </c>
      <c r="E208">
        <v>1</v>
      </c>
      <c r="F208" s="7">
        <v>45315</v>
      </c>
      <c r="G208" t="s">
        <v>20</v>
      </c>
      <c r="H208">
        <f t="shared" si="3"/>
        <v>47931</v>
      </c>
    </row>
    <row r="209" spans="1:8" x14ac:dyDescent="0.3">
      <c r="A209">
        <v>208</v>
      </c>
      <c r="B209" t="s">
        <v>7</v>
      </c>
      <c r="C209" t="s">
        <v>14</v>
      </c>
      <c r="D209">
        <v>36966</v>
      </c>
      <c r="E209">
        <v>3</v>
      </c>
      <c r="F209" s="7">
        <v>45336</v>
      </c>
      <c r="G209" t="s">
        <v>19</v>
      </c>
      <c r="H209">
        <f t="shared" si="3"/>
        <v>110898</v>
      </c>
    </row>
    <row r="210" spans="1:8" x14ac:dyDescent="0.3">
      <c r="A210">
        <v>209</v>
      </c>
      <c r="B210" t="s">
        <v>10</v>
      </c>
      <c r="C210" t="s">
        <v>15</v>
      </c>
      <c r="D210">
        <v>23886</v>
      </c>
      <c r="E210">
        <v>2</v>
      </c>
      <c r="F210" s="7">
        <v>45297</v>
      </c>
      <c r="G210" t="s">
        <v>19</v>
      </c>
      <c r="H210">
        <f t="shared" si="3"/>
        <v>47772</v>
      </c>
    </row>
    <row r="211" spans="1:8" x14ac:dyDescent="0.3">
      <c r="A211">
        <v>210</v>
      </c>
      <c r="B211" t="s">
        <v>7</v>
      </c>
      <c r="C211" t="s">
        <v>15</v>
      </c>
      <c r="D211">
        <v>21208</v>
      </c>
      <c r="E211">
        <v>3</v>
      </c>
      <c r="F211" s="7">
        <v>45392</v>
      </c>
      <c r="G211" t="s">
        <v>18</v>
      </c>
      <c r="H211">
        <f t="shared" si="3"/>
        <v>63624</v>
      </c>
    </row>
    <row r="212" spans="1:8" x14ac:dyDescent="0.3">
      <c r="A212">
        <v>211</v>
      </c>
      <c r="B212" t="s">
        <v>12</v>
      </c>
      <c r="C212" t="s">
        <v>14</v>
      </c>
      <c r="D212">
        <v>49473</v>
      </c>
      <c r="E212">
        <v>5</v>
      </c>
      <c r="F212" s="7">
        <v>45350</v>
      </c>
      <c r="G212" t="s">
        <v>19</v>
      </c>
      <c r="H212">
        <f t="shared" si="3"/>
        <v>247365</v>
      </c>
    </row>
    <row r="213" spans="1:8" x14ac:dyDescent="0.3">
      <c r="A213">
        <v>212</v>
      </c>
      <c r="B213" t="s">
        <v>9</v>
      </c>
      <c r="C213" t="s">
        <v>15</v>
      </c>
      <c r="D213">
        <v>42117</v>
      </c>
      <c r="E213">
        <v>4</v>
      </c>
      <c r="F213" s="7">
        <v>45370</v>
      </c>
      <c r="G213" t="s">
        <v>16</v>
      </c>
      <c r="H213">
        <f t="shared" si="3"/>
        <v>168468</v>
      </c>
    </row>
    <row r="214" spans="1:8" x14ac:dyDescent="0.3">
      <c r="A214">
        <v>213</v>
      </c>
      <c r="B214" t="s">
        <v>12</v>
      </c>
      <c r="C214" t="s">
        <v>13</v>
      </c>
      <c r="D214">
        <v>29545</v>
      </c>
      <c r="E214">
        <v>2</v>
      </c>
      <c r="F214" s="7">
        <v>45375</v>
      </c>
      <c r="G214" t="s">
        <v>16</v>
      </c>
      <c r="H214">
        <f t="shared" si="3"/>
        <v>59090</v>
      </c>
    </row>
    <row r="215" spans="1:8" x14ac:dyDescent="0.3">
      <c r="A215">
        <v>214</v>
      </c>
      <c r="B215" t="s">
        <v>10</v>
      </c>
      <c r="C215" t="s">
        <v>15</v>
      </c>
      <c r="D215">
        <v>5591</v>
      </c>
      <c r="E215">
        <v>3</v>
      </c>
      <c r="F215" s="7">
        <v>45407</v>
      </c>
      <c r="G215" t="s">
        <v>17</v>
      </c>
      <c r="H215">
        <f t="shared" si="3"/>
        <v>16773</v>
      </c>
    </row>
    <row r="216" spans="1:8" x14ac:dyDescent="0.3">
      <c r="A216">
        <v>215</v>
      </c>
      <c r="B216" t="s">
        <v>9</v>
      </c>
      <c r="C216" t="s">
        <v>15</v>
      </c>
      <c r="D216">
        <v>11072</v>
      </c>
      <c r="E216">
        <v>2</v>
      </c>
      <c r="F216" s="7">
        <v>45401</v>
      </c>
      <c r="G216" t="s">
        <v>16</v>
      </c>
      <c r="H216">
        <f t="shared" si="3"/>
        <v>22144</v>
      </c>
    </row>
    <row r="217" spans="1:8" x14ac:dyDescent="0.3">
      <c r="A217">
        <v>216</v>
      </c>
      <c r="B217" t="s">
        <v>7</v>
      </c>
      <c r="C217" t="s">
        <v>14</v>
      </c>
      <c r="D217">
        <v>4661</v>
      </c>
      <c r="E217">
        <v>5</v>
      </c>
      <c r="F217" s="7">
        <v>45386</v>
      </c>
      <c r="G217" t="s">
        <v>16</v>
      </c>
      <c r="H217">
        <f t="shared" si="3"/>
        <v>23305</v>
      </c>
    </row>
    <row r="218" spans="1:8" x14ac:dyDescent="0.3">
      <c r="A218">
        <v>217</v>
      </c>
      <c r="B218" t="s">
        <v>11</v>
      </c>
      <c r="C218" t="s">
        <v>15</v>
      </c>
      <c r="D218">
        <v>1767</v>
      </c>
      <c r="E218">
        <v>5</v>
      </c>
      <c r="F218" s="7">
        <v>45335</v>
      </c>
      <c r="G218" t="s">
        <v>20</v>
      </c>
      <c r="H218">
        <f t="shared" si="3"/>
        <v>8835</v>
      </c>
    </row>
    <row r="219" spans="1:8" x14ac:dyDescent="0.3">
      <c r="A219">
        <v>218</v>
      </c>
      <c r="B219" t="s">
        <v>7</v>
      </c>
      <c r="C219" t="s">
        <v>13</v>
      </c>
      <c r="D219">
        <v>3637</v>
      </c>
      <c r="E219">
        <v>4</v>
      </c>
      <c r="F219" s="7">
        <v>45397</v>
      </c>
      <c r="G219" t="s">
        <v>19</v>
      </c>
      <c r="H219">
        <f t="shared" si="3"/>
        <v>14548</v>
      </c>
    </row>
    <row r="220" spans="1:8" x14ac:dyDescent="0.3">
      <c r="A220">
        <v>219</v>
      </c>
      <c r="B220" t="s">
        <v>9</v>
      </c>
      <c r="C220" t="s">
        <v>15</v>
      </c>
      <c r="D220">
        <v>45874</v>
      </c>
      <c r="E220">
        <v>5</v>
      </c>
      <c r="F220" s="7">
        <v>45338</v>
      </c>
      <c r="G220" t="s">
        <v>20</v>
      </c>
      <c r="H220">
        <f t="shared" si="3"/>
        <v>229370</v>
      </c>
    </row>
    <row r="221" spans="1:8" x14ac:dyDescent="0.3">
      <c r="A221">
        <v>220</v>
      </c>
      <c r="B221" t="s">
        <v>7</v>
      </c>
      <c r="C221" t="s">
        <v>13</v>
      </c>
      <c r="D221">
        <v>10309</v>
      </c>
      <c r="E221">
        <v>1</v>
      </c>
      <c r="F221" s="7">
        <v>45335</v>
      </c>
      <c r="G221" t="s">
        <v>19</v>
      </c>
      <c r="H221">
        <f t="shared" si="3"/>
        <v>10309</v>
      </c>
    </row>
    <row r="222" spans="1:8" x14ac:dyDescent="0.3">
      <c r="A222">
        <v>221</v>
      </c>
      <c r="B222" t="s">
        <v>11</v>
      </c>
      <c r="C222" t="s">
        <v>15</v>
      </c>
      <c r="D222">
        <v>40485</v>
      </c>
      <c r="E222">
        <v>2</v>
      </c>
      <c r="F222" s="7">
        <v>45352</v>
      </c>
      <c r="G222" t="s">
        <v>18</v>
      </c>
      <c r="H222">
        <f t="shared" si="3"/>
        <v>80970</v>
      </c>
    </row>
    <row r="223" spans="1:8" x14ac:dyDescent="0.3">
      <c r="A223">
        <v>222</v>
      </c>
      <c r="B223" t="s">
        <v>8</v>
      </c>
      <c r="C223" t="s">
        <v>15</v>
      </c>
      <c r="D223">
        <v>24366</v>
      </c>
      <c r="E223">
        <v>4</v>
      </c>
      <c r="F223" s="7">
        <v>45396</v>
      </c>
      <c r="G223" t="s">
        <v>18</v>
      </c>
      <c r="H223">
        <f t="shared" si="3"/>
        <v>97464</v>
      </c>
    </row>
    <row r="224" spans="1:8" x14ac:dyDescent="0.3">
      <c r="A224">
        <v>223</v>
      </c>
      <c r="B224" t="s">
        <v>7</v>
      </c>
      <c r="C224" t="s">
        <v>13</v>
      </c>
      <c r="D224">
        <v>29507</v>
      </c>
      <c r="E224">
        <v>4</v>
      </c>
      <c r="F224" s="7">
        <v>45399</v>
      </c>
      <c r="G224" t="s">
        <v>20</v>
      </c>
      <c r="H224">
        <f t="shared" si="3"/>
        <v>118028</v>
      </c>
    </row>
    <row r="225" spans="1:8" x14ac:dyDescent="0.3">
      <c r="A225">
        <v>224</v>
      </c>
      <c r="B225" t="s">
        <v>12</v>
      </c>
      <c r="C225" t="s">
        <v>14</v>
      </c>
      <c r="D225">
        <v>14290</v>
      </c>
      <c r="E225">
        <v>5</v>
      </c>
      <c r="F225" s="7">
        <v>45396</v>
      </c>
      <c r="G225" t="s">
        <v>19</v>
      </c>
      <c r="H225">
        <f t="shared" si="3"/>
        <v>71450</v>
      </c>
    </row>
    <row r="226" spans="1:8" x14ac:dyDescent="0.3">
      <c r="A226">
        <v>225</v>
      </c>
      <c r="B226" t="s">
        <v>9</v>
      </c>
      <c r="C226" t="s">
        <v>15</v>
      </c>
      <c r="D226">
        <v>14417</v>
      </c>
      <c r="E226">
        <v>3</v>
      </c>
      <c r="F226" s="7">
        <v>45402</v>
      </c>
      <c r="G226" t="s">
        <v>16</v>
      </c>
      <c r="H226">
        <f t="shared" si="3"/>
        <v>43251</v>
      </c>
    </row>
    <row r="227" spans="1:8" x14ac:dyDescent="0.3">
      <c r="A227">
        <v>226</v>
      </c>
      <c r="B227" t="s">
        <v>10</v>
      </c>
      <c r="C227" t="s">
        <v>13</v>
      </c>
      <c r="D227">
        <v>23952</v>
      </c>
      <c r="E227">
        <v>1</v>
      </c>
      <c r="F227" s="7">
        <v>45296</v>
      </c>
      <c r="G227" t="s">
        <v>19</v>
      </c>
      <c r="H227">
        <f t="shared" si="3"/>
        <v>23952</v>
      </c>
    </row>
    <row r="228" spans="1:8" x14ac:dyDescent="0.3">
      <c r="A228">
        <v>227</v>
      </c>
      <c r="B228" t="s">
        <v>12</v>
      </c>
      <c r="C228" t="s">
        <v>14</v>
      </c>
      <c r="D228">
        <v>37403</v>
      </c>
      <c r="E228">
        <v>4</v>
      </c>
      <c r="F228" s="7">
        <v>45296</v>
      </c>
      <c r="G228" t="s">
        <v>20</v>
      </c>
      <c r="H228">
        <f t="shared" si="3"/>
        <v>149612</v>
      </c>
    </row>
    <row r="229" spans="1:8" x14ac:dyDescent="0.3">
      <c r="A229">
        <v>228</v>
      </c>
      <c r="B229" t="s">
        <v>10</v>
      </c>
      <c r="C229" t="s">
        <v>13</v>
      </c>
      <c r="D229">
        <v>32934</v>
      </c>
      <c r="E229">
        <v>5</v>
      </c>
      <c r="F229" s="7">
        <v>45299</v>
      </c>
      <c r="G229" t="s">
        <v>18</v>
      </c>
      <c r="H229">
        <f t="shared" si="3"/>
        <v>164670</v>
      </c>
    </row>
    <row r="230" spans="1:8" x14ac:dyDescent="0.3">
      <c r="A230">
        <v>229</v>
      </c>
      <c r="B230" t="s">
        <v>11</v>
      </c>
      <c r="C230" t="s">
        <v>14</v>
      </c>
      <c r="D230">
        <v>29744</v>
      </c>
      <c r="E230">
        <v>1</v>
      </c>
      <c r="F230" s="7">
        <v>45387</v>
      </c>
      <c r="G230" t="s">
        <v>16</v>
      </c>
      <c r="H230">
        <f t="shared" si="3"/>
        <v>29744</v>
      </c>
    </row>
    <row r="231" spans="1:8" x14ac:dyDescent="0.3">
      <c r="A231">
        <v>230</v>
      </c>
      <c r="B231" t="s">
        <v>11</v>
      </c>
      <c r="C231" t="s">
        <v>15</v>
      </c>
      <c r="D231">
        <v>46163</v>
      </c>
      <c r="E231">
        <v>4</v>
      </c>
      <c r="F231" s="7">
        <v>45331</v>
      </c>
      <c r="G231" t="s">
        <v>19</v>
      </c>
      <c r="H231">
        <f t="shared" si="3"/>
        <v>184652</v>
      </c>
    </row>
    <row r="232" spans="1:8" x14ac:dyDescent="0.3">
      <c r="A232">
        <v>231</v>
      </c>
      <c r="B232" t="s">
        <v>10</v>
      </c>
      <c r="C232" t="s">
        <v>14</v>
      </c>
      <c r="D232">
        <v>27724</v>
      </c>
      <c r="E232">
        <v>5</v>
      </c>
      <c r="F232" s="7">
        <v>45300</v>
      </c>
      <c r="G232" t="s">
        <v>18</v>
      </c>
      <c r="H232">
        <f t="shared" si="3"/>
        <v>138620</v>
      </c>
    </row>
    <row r="233" spans="1:8" x14ac:dyDescent="0.3">
      <c r="A233">
        <v>232</v>
      </c>
      <c r="B233" t="s">
        <v>9</v>
      </c>
      <c r="C233" t="s">
        <v>13</v>
      </c>
      <c r="D233">
        <v>17403</v>
      </c>
      <c r="E233">
        <v>1</v>
      </c>
      <c r="F233" s="7">
        <v>45336</v>
      </c>
      <c r="G233" t="s">
        <v>17</v>
      </c>
      <c r="H233">
        <f t="shared" si="3"/>
        <v>17403</v>
      </c>
    </row>
    <row r="234" spans="1:8" x14ac:dyDescent="0.3">
      <c r="A234">
        <v>233</v>
      </c>
      <c r="B234" t="s">
        <v>9</v>
      </c>
      <c r="C234" t="s">
        <v>15</v>
      </c>
      <c r="D234">
        <v>37242</v>
      </c>
      <c r="E234">
        <v>4</v>
      </c>
      <c r="F234" s="7">
        <v>45369</v>
      </c>
      <c r="G234" t="s">
        <v>18</v>
      </c>
      <c r="H234">
        <f t="shared" si="3"/>
        <v>148968</v>
      </c>
    </row>
    <row r="235" spans="1:8" x14ac:dyDescent="0.3">
      <c r="A235">
        <v>234</v>
      </c>
      <c r="B235" t="s">
        <v>8</v>
      </c>
      <c r="C235" t="s">
        <v>15</v>
      </c>
      <c r="D235">
        <v>35850</v>
      </c>
      <c r="E235">
        <v>5</v>
      </c>
      <c r="F235" s="7">
        <v>45317</v>
      </c>
      <c r="G235" t="s">
        <v>19</v>
      </c>
      <c r="H235">
        <f t="shared" si="3"/>
        <v>179250</v>
      </c>
    </row>
    <row r="236" spans="1:8" x14ac:dyDescent="0.3">
      <c r="A236">
        <v>235</v>
      </c>
      <c r="B236" t="s">
        <v>7</v>
      </c>
      <c r="C236" t="s">
        <v>14</v>
      </c>
      <c r="D236">
        <v>48281</v>
      </c>
      <c r="E236">
        <v>4</v>
      </c>
      <c r="F236" s="7">
        <v>45387</v>
      </c>
      <c r="G236" t="s">
        <v>18</v>
      </c>
      <c r="H236">
        <f t="shared" si="3"/>
        <v>193124</v>
      </c>
    </row>
    <row r="237" spans="1:8" x14ac:dyDescent="0.3">
      <c r="A237">
        <v>236</v>
      </c>
      <c r="B237" t="s">
        <v>8</v>
      </c>
      <c r="C237" t="s">
        <v>13</v>
      </c>
      <c r="D237">
        <v>11994</v>
      </c>
      <c r="E237">
        <v>1</v>
      </c>
      <c r="F237" s="7">
        <v>45357</v>
      </c>
      <c r="G237" t="s">
        <v>20</v>
      </c>
      <c r="H237">
        <f t="shared" si="3"/>
        <v>11994</v>
      </c>
    </row>
    <row r="238" spans="1:8" x14ac:dyDescent="0.3">
      <c r="A238">
        <v>237</v>
      </c>
      <c r="B238" t="s">
        <v>9</v>
      </c>
      <c r="C238" t="s">
        <v>13</v>
      </c>
      <c r="D238">
        <v>3546</v>
      </c>
      <c r="E238">
        <v>1</v>
      </c>
      <c r="F238" s="7">
        <v>45383</v>
      </c>
      <c r="G238" t="s">
        <v>16</v>
      </c>
      <c r="H238">
        <f t="shared" si="3"/>
        <v>3546</v>
      </c>
    </row>
    <row r="239" spans="1:8" x14ac:dyDescent="0.3">
      <c r="A239">
        <v>238</v>
      </c>
      <c r="B239" t="s">
        <v>8</v>
      </c>
      <c r="C239" t="s">
        <v>15</v>
      </c>
      <c r="D239">
        <v>16665</v>
      </c>
      <c r="E239">
        <v>1</v>
      </c>
      <c r="F239" s="7">
        <v>45363</v>
      </c>
      <c r="G239" t="s">
        <v>17</v>
      </c>
      <c r="H239">
        <f t="shared" si="3"/>
        <v>16665</v>
      </c>
    </row>
    <row r="240" spans="1:8" x14ac:dyDescent="0.3">
      <c r="A240">
        <v>239</v>
      </c>
      <c r="B240" t="s">
        <v>9</v>
      </c>
      <c r="C240" t="s">
        <v>14</v>
      </c>
      <c r="D240">
        <v>39398</v>
      </c>
      <c r="E240">
        <v>5</v>
      </c>
      <c r="F240" s="7">
        <v>45380</v>
      </c>
      <c r="G240" t="s">
        <v>16</v>
      </c>
      <c r="H240">
        <f t="shared" si="3"/>
        <v>196990</v>
      </c>
    </row>
    <row r="241" spans="1:8" x14ac:dyDescent="0.3">
      <c r="A241">
        <v>240</v>
      </c>
      <c r="B241" t="s">
        <v>9</v>
      </c>
      <c r="C241" t="s">
        <v>13</v>
      </c>
      <c r="D241">
        <v>48958</v>
      </c>
      <c r="E241">
        <v>4</v>
      </c>
      <c r="F241" s="7">
        <v>45361</v>
      </c>
      <c r="G241" t="s">
        <v>19</v>
      </c>
      <c r="H241">
        <f t="shared" si="3"/>
        <v>195832</v>
      </c>
    </row>
    <row r="242" spans="1:8" x14ac:dyDescent="0.3">
      <c r="A242">
        <v>241</v>
      </c>
      <c r="B242" t="s">
        <v>10</v>
      </c>
      <c r="C242" t="s">
        <v>13</v>
      </c>
      <c r="D242">
        <v>34855</v>
      </c>
      <c r="E242">
        <v>5</v>
      </c>
      <c r="F242" s="7">
        <v>45387</v>
      </c>
      <c r="G242" t="s">
        <v>18</v>
      </c>
      <c r="H242">
        <f t="shared" si="3"/>
        <v>174275</v>
      </c>
    </row>
    <row r="243" spans="1:8" x14ac:dyDescent="0.3">
      <c r="A243">
        <v>242</v>
      </c>
      <c r="B243" t="s">
        <v>10</v>
      </c>
      <c r="C243" t="s">
        <v>15</v>
      </c>
      <c r="D243">
        <v>43870</v>
      </c>
      <c r="E243">
        <v>5</v>
      </c>
      <c r="F243" s="7">
        <v>45347</v>
      </c>
      <c r="G243" t="s">
        <v>16</v>
      </c>
      <c r="H243">
        <f t="shared" si="3"/>
        <v>219350</v>
      </c>
    </row>
    <row r="244" spans="1:8" x14ac:dyDescent="0.3">
      <c r="A244">
        <v>243</v>
      </c>
      <c r="B244" t="s">
        <v>8</v>
      </c>
      <c r="C244" t="s">
        <v>13</v>
      </c>
      <c r="D244">
        <v>3896</v>
      </c>
      <c r="E244">
        <v>2</v>
      </c>
      <c r="F244" s="7">
        <v>45408</v>
      </c>
      <c r="G244" t="s">
        <v>17</v>
      </c>
      <c r="H244">
        <f t="shared" si="3"/>
        <v>7792</v>
      </c>
    </row>
    <row r="245" spans="1:8" x14ac:dyDescent="0.3">
      <c r="A245">
        <v>244</v>
      </c>
      <c r="B245" t="s">
        <v>10</v>
      </c>
      <c r="C245" t="s">
        <v>13</v>
      </c>
      <c r="D245">
        <v>20406</v>
      </c>
      <c r="E245">
        <v>1</v>
      </c>
      <c r="F245" s="7">
        <v>45319</v>
      </c>
      <c r="G245" t="s">
        <v>19</v>
      </c>
      <c r="H245">
        <f t="shared" si="3"/>
        <v>20406</v>
      </c>
    </row>
    <row r="246" spans="1:8" x14ac:dyDescent="0.3">
      <c r="A246">
        <v>245</v>
      </c>
      <c r="B246" t="s">
        <v>7</v>
      </c>
      <c r="C246" t="s">
        <v>13</v>
      </c>
      <c r="D246">
        <v>44942</v>
      </c>
      <c r="E246">
        <v>1</v>
      </c>
      <c r="F246" s="7">
        <v>45313</v>
      </c>
      <c r="G246" t="s">
        <v>17</v>
      </c>
      <c r="H246">
        <f t="shared" si="3"/>
        <v>44942</v>
      </c>
    </row>
    <row r="247" spans="1:8" x14ac:dyDescent="0.3">
      <c r="A247">
        <v>246</v>
      </c>
      <c r="B247" t="s">
        <v>12</v>
      </c>
      <c r="C247" t="s">
        <v>13</v>
      </c>
      <c r="D247">
        <v>16433</v>
      </c>
      <c r="E247">
        <v>3</v>
      </c>
      <c r="F247" s="7">
        <v>45396</v>
      </c>
      <c r="G247" t="s">
        <v>16</v>
      </c>
      <c r="H247">
        <f t="shared" si="3"/>
        <v>49299</v>
      </c>
    </row>
    <row r="248" spans="1:8" x14ac:dyDescent="0.3">
      <c r="A248">
        <v>247</v>
      </c>
      <c r="B248" t="s">
        <v>8</v>
      </c>
      <c r="C248" t="s">
        <v>15</v>
      </c>
      <c r="D248">
        <v>25323</v>
      </c>
      <c r="E248">
        <v>5</v>
      </c>
      <c r="F248" s="7">
        <v>45342</v>
      </c>
      <c r="G248" t="s">
        <v>18</v>
      </c>
      <c r="H248">
        <f t="shared" si="3"/>
        <v>126615</v>
      </c>
    </row>
    <row r="249" spans="1:8" x14ac:dyDescent="0.3">
      <c r="A249">
        <v>248</v>
      </c>
      <c r="B249" t="s">
        <v>8</v>
      </c>
      <c r="C249" t="s">
        <v>14</v>
      </c>
      <c r="D249">
        <v>13963</v>
      </c>
      <c r="E249">
        <v>2</v>
      </c>
      <c r="F249" s="7">
        <v>45349</v>
      </c>
      <c r="G249" t="s">
        <v>16</v>
      </c>
      <c r="H249">
        <f t="shared" si="3"/>
        <v>27926</v>
      </c>
    </row>
    <row r="250" spans="1:8" x14ac:dyDescent="0.3">
      <c r="A250">
        <v>249</v>
      </c>
      <c r="B250" t="s">
        <v>8</v>
      </c>
      <c r="C250" t="s">
        <v>13</v>
      </c>
      <c r="D250">
        <v>17685</v>
      </c>
      <c r="E250">
        <v>2</v>
      </c>
      <c r="F250" s="7">
        <v>45333</v>
      </c>
      <c r="G250" t="s">
        <v>16</v>
      </c>
      <c r="H250">
        <f t="shared" si="3"/>
        <v>35370</v>
      </c>
    </row>
    <row r="251" spans="1:8" x14ac:dyDescent="0.3">
      <c r="A251">
        <v>250</v>
      </c>
      <c r="B251" t="s">
        <v>9</v>
      </c>
      <c r="C251" t="s">
        <v>15</v>
      </c>
      <c r="D251">
        <v>26422</v>
      </c>
      <c r="E251">
        <v>3</v>
      </c>
      <c r="F251" s="7">
        <v>45294</v>
      </c>
      <c r="G251" t="s">
        <v>16</v>
      </c>
      <c r="H251">
        <f t="shared" si="3"/>
        <v>79266</v>
      </c>
    </row>
    <row r="252" spans="1:8" x14ac:dyDescent="0.3">
      <c r="A252">
        <v>251</v>
      </c>
      <c r="B252" t="s">
        <v>9</v>
      </c>
      <c r="C252" t="s">
        <v>15</v>
      </c>
      <c r="D252">
        <v>3573</v>
      </c>
      <c r="E252">
        <v>2</v>
      </c>
      <c r="F252" s="7">
        <v>45312</v>
      </c>
      <c r="G252" t="s">
        <v>16</v>
      </c>
      <c r="H252">
        <f t="shared" si="3"/>
        <v>7146</v>
      </c>
    </row>
    <row r="253" spans="1:8" x14ac:dyDescent="0.3">
      <c r="A253">
        <v>252</v>
      </c>
      <c r="B253" t="s">
        <v>10</v>
      </c>
      <c r="C253" t="s">
        <v>15</v>
      </c>
      <c r="D253">
        <v>19066</v>
      </c>
      <c r="E253">
        <v>3</v>
      </c>
      <c r="F253" s="7">
        <v>45391</v>
      </c>
      <c r="G253" t="s">
        <v>16</v>
      </c>
      <c r="H253">
        <f t="shared" si="3"/>
        <v>57198</v>
      </c>
    </row>
    <row r="254" spans="1:8" x14ac:dyDescent="0.3">
      <c r="A254">
        <v>253</v>
      </c>
      <c r="B254" t="s">
        <v>11</v>
      </c>
      <c r="C254" t="s">
        <v>14</v>
      </c>
      <c r="D254">
        <v>42809</v>
      </c>
      <c r="E254">
        <v>3</v>
      </c>
      <c r="F254" s="7">
        <v>45330</v>
      </c>
      <c r="G254" t="s">
        <v>20</v>
      </c>
      <c r="H254">
        <f t="shared" si="3"/>
        <v>128427</v>
      </c>
    </row>
    <row r="255" spans="1:8" x14ac:dyDescent="0.3">
      <c r="A255">
        <v>254</v>
      </c>
      <c r="B255" t="s">
        <v>12</v>
      </c>
      <c r="C255" t="s">
        <v>15</v>
      </c>
      <c r="D255">
        <v>10406</v>
      </c>
      <c r="E255">
        <v>2</v>
      </c>
      <c r="F255" s="7">
        <v>45348</v>
      </c>
      <c r="G255" t="s">
        <v>19</v>
      </c>
      <c r="H255">
        <f t="shared" si="3"/>
        <v>20812</v>
      </c>
    </row>
    <row r="256" spans="1:8" x14ac:dyDescent="0.3">
      <c r="A256">
        <v>255</v>
      </c>
      <c r="B256" t="s">
        <v>9</v>
      </c>
      <c r="C256" t="s">
        <v>14</v>
      </c>
      <c r="D256">
        <v>47408</v>
      </c>
      <c r="E256">
        <v>1</v>
      </c>
      <c r="F256" s="7">
        <v>45306</v>
      </c>
      <c r="G256" t="s">
        <v>20</v>
      </c>
      <c r="H256">
        <f t="shared" si="3"/>
        <v>47408</v>
      </c>
    </row>
    <row r="257" spans="1:8" x14ac:dyDescent="0.3">
      <c r="A257">
        <v>256</v>
      </c>
      <c r="B257" t="s">
        <v>10</v>
      </c>
      <c r="C257" t="s">
        <v>13</v>
      </c>
      <c r="D257">
        <v>48273</v>
      </c>
      <c r="E257">
        <v>2</v>
      </c>
      <c r="F257" s="7">
        <v>45311</v>
      </c>
      <c r="G257" t="s">
        <v>19</v>
      </c>
      <c r="H257">
        <f t="shared" si="3"/>
        <v>96546</v>
      </c>
    </row>
    <row r="258" spans="1:8" x14ac:dyDescent="0.3">
      <c r="A258">
        <v>257</v>
      </c>
      <c r="B258" t="s">
        <v>7</v>
      </c>
      <c r="C258" t="s">
        <v>13</v>
      </c>
      <c r="D258">
        <v>40954</v>
      </c>
      <c r="E258">
        <v>4</v>
      </c>
      <c r="F258" s="7">
        <v>45353</v>
      </c>
      <c r="G258" t="s">
        <v>19</v>
      </c>
      <c r="H258">
        <f t="shared" si="3"/>
        <v>163816</v>
      </c>
    </row>
    <row r="259" spans="1:8" x14ac:dyDescent="0.3">
      <c r="A259">
        <v>258</v>
      </c>
      <c r="B259" t="s">
        <v>7</v>
      </c>
      <c r="C259" t="s">
        <v>14</v>
      </c>
      <c r="D259">
        <v>32051</v>
      </c>
      <c r="E259">
        <v>5</v>
      </c>
      <c r="F259" s="7">
        <v>45409</v>
      </c>
      <c r="G259" t="s">
        <v>17</v>
      </c>
      <c r="H259">
        <f t="shared" ref="H259:H301" si="4">D259 * E259</f>
        <v>160255</v>
      </c>
    </row>
    <row r="260" spans="1:8" x14ac:dyDescent="0.3">
      <c r="A260">
        <v>259</v>
      </c>
      <c r="B260" t="s">
        <v>10</v>
      </c>
      <c r="C260" t="s">
        <v>14</v>
      </c>
      <c r="D260">
        <v>2771</v>
      </c>
      <c r="E260">
        <v>1</v>
      </c>
      <c r="F260" s="7">
        <v>45393</v>
      </c>
      <c r="G260" t="s">
        <v>19</v>
      </c>
      <c r="H260">
        <f t="shared" si="4"/>
        <v>2771</v>
      </c>
    </row>
    <row r="261" spans="1:8" x14ac:dyDescent="0.3">
      <c r="A261">
        <v>260</v>
      </c>
      <c r="B261" t="s">
        <v>11</v>
      </c>
      <c r="C261" t="s">
        <v>14</v>
      </c>
      <c r="D261">
        <v>41795</v>
      </c>
      <c r="E261">
        <v>4</v>
      </c>
      <c r="F261" s="7">
        <v>45392</v>
      </c>
      <c r="G261" t="s">
        <v>20</v>
      </c>
      <c r="H261">
        <f t="shared" si="4"/>
        <v>167180</v>
      </c>
    </row>
    <row r="262" spans="1:8" x14ac:dyDescent="0.3">
      <c r="A262">
        <v>261</v>
      </c>
      <c r="B262" t="s">
        <v>12</v>
      </c>
      <c r="C262" t="s">
        <v>14</v>
      </c>
      <c r="D262">
        <v>26847</v>
      </c>
      <c r="E262">
        <v>2</v>
      </c>
      <c r="F262" s="7">
        <v>45307</v>
      </c>
      <c r="G262" t="s">
        <v>19</v>
      </c>
      <c r="H262">
        <f t="shared" si="4"/>
        <v>53694</v>
      </c>
    </row>
    <row r="263" spans="1:8" x14ac:dyDescent="0.3">
      <c r="A263">
        <v>262</v>
      </c>
      <c r="B263" t="s">
        <v>11</v>
      </c>
      <c r="C263" t="s">
        <v>13</v>
      </c>
      <c r="D263">
        <v>24930</v>
      </c>
      <c r="E263">
        <v>1</v>
      </c>
      <c r="F263" s="7">
        <v>45313</v>
      </c>
      <c r="G263" t="s">
        <v>18</v>
      </c>
      <c r="H263">
        <f t="shared" si="4"/>
        <v>24930</v>
      </c>
    </row>
    <row r="264" spans="1:8" x14ac:dyDescent="0.3">
      <c r="A264">
        <v>263</v>
      </c>
      <c r="B264" t="s">
        <v>7</v>
      </c>
      <c r="C264" t="s">
        <v>13</v>
      </c>
      <c r="D264">
        <v>6935</v>
      </c>
      <c r="E264">
        <v>3</v>
      </c>
      <c r="F264" s="7">
        <v>45370</v>
      </c>
      <c r="G264" t="s">
        <v>18</v>
      </c>
      <c r="H264">
        <f t="shared" si="4"/>
        <v>20805</v>
      </c>
    </row>
    <row r="265" spans="1:8" x14ac:dyDescent="0.3">
      <c r="A265">
        <v>264</v>
      </c>
      <c r="B265" t="s">
        <v>9</v>
      </c>
      <c r="C265" t="s">
        <v>14</v>
      </c>
      <c r="D265">
        <v>9771</v>
      </c>
      <c r="E265">
        <v>3</v>
      </c>
      <c r="F265" s="7">
        <v>45337</v>
      </c>
      <c r="G265" t="s">
        <v>19</v>
      </c>
      <c r="H265">
        <f t="shared" si="4"/>
        <v>29313</v>
      </c>
    </row>
    <row r="266" spans="1:8" x14ac:dyDescent="0.3">
      <c r="A266">
        <v>265</v>
      </c>
      <c r="B266" t="s">
        <v>7</v>
      </c>
      <c r="C266" t="s">
        <v>15</v>
      </c>
      <c r="D266">
        <v>45477</v>
      </c>
      <c r="E266">
        <v>1</v>
      </c>
      <c r="F266" s="7">
        <v>45325</v>
      </c>
      <c r="G266" t="s">
        <v>16</v>
      </c>
      <c r="H266">
        <f t="shared" si="4"/>
        <v>45477</v>
      </c>
    </row>
    <row r="267" spans="1:8" x14ac:dyDescent="0.3">
      <c r="A267">
        <v>266</v>
      </c>
      <c r="B267" t="s">
        <v>8</v>
      </c>
      <c r="C267" t="s">
        <v>14</v>
      </c>
      <c r="D267">
        <v>42222</v>
      </c>
      <c r="E267">
        <v>3</v>
      </c>
      <c r="F267" s="7">
        <v>45412</v>
      </c>
      <c r="G267" t="s">
        <v>16</v>
      </c>
      <c r="H267">
        <f t="shared" si="4"/>
        <v>126666</v>
      </c>
    </row>
    <row r="268" spans="1:8" x14ac:dyDescent="0.3">
      <c r="A268">
        <v>267</v>
      </c>
      <c r="B268" t="s">
        <v>7</v>
      </c>
      <c r="C268" t="s">
        <v>15</v>
      </c>
      <c r="D268">
        <v>33646</v>
      </c>
      <c r="E268">
        <v>1</v>
      </c>
      <c r="F268" s="7">
        <v>45357</v>
      </c>
      <c r="G268" t="s">
        <v>19</v>
      </c>
      <c r="H268">
        <f t="shared" si="4"/>
        <v>33646</v>
      </c>
    </row>
    <row r="269" spans="1:8" x14ac:dyDescent="0.3">
      <c r="A269">
        <v>268</v>
      </c>
      <c r="B269" t="s">
        <v>7</v>
      </c>
      <c r="C269" t="s">
        <v>14</v>
      </c>
      <c r="D269">
        <v>7059</v>
      </c>
      <c r="E269">
        <v>5</v>
      </c>
      <c r="F269" s="7">
        <v>45358</v>
      </c>
      <c r="G269" t="s">
        <v>20</v>
      </c>
      <c r="H269">
        <f t="shared" si="4"/>
        <v>35295</v>
      </c>
    </row>
    <row r="270" spans="1:8" x14ac:dyDescent="0.3">
      <c r="A270">
        <v>269</v>
      </c>
      <c r="B270" t="s">
        <v>11</v>
      </c>
      <c r="C270" t="s">
        <v>15</v>
      </c>
      <c r="D270">
        <v>5859</v>
      </c>
      <c r="E270">
        <v>5</v>
      </c>
      <c r="F270" s="7">
        <v>45332</v>
      </c>
      <c r="G270" t="s">
        <v>18</v>
      </c>
      <c r="H270">
        <f t="shared" si="4"/>
        <v>29295</v>
      </c>
    </row>
    <row r="271" spans="1:8" x14ac:dyDescent="0.3">
      <c r="A271">
        <v>270</v>
      </c>
      <c r="B271" t="s">
        <v>12</v>
      </c>
      <c r="C271" t="s">
        <v>15</v>
      </c>
      <c r="D271">
        <v>37704</v>
      </c>
      <c r="E271">
        <v>3</v>
      </c>
      <c r="F271" s="7">
        <v>45375</v>
      </c>
      <c r="G271" t="s">
        <v>17</v>
      </c>
      <c r="H271">
        <f t="shared" si="4"/>
        <v>113112</v>
      </c>
    </row>
    <row r="272" spans="1:8" x14ac:dyDescent="0.3">
      <c r="A272">
        <v>271</v>
      </c>
      <c r="B272" t="s">
        <v>10</v>
      </c>
      <c r="C272" t="s">
        <v>15</v>
      </c>
      <c r="D272">
        <v>7486</v>
      </c>
      <c r="E272">
        <v>3</v>
      </c>
      <c r="F272" s="7">
        <v>45368</v>
      </c>
      <c r="G272" t="s">
        <v>17</v>
      </c>
      <c r="H272">
        <f t="shared" si="4"/>
        <v>22458</v>
      </c>
    </row>
    <row r="273" spans="1:8" x14ac:dyDescent="0.3">
      <c r="A273">
        <v>272</v>
      </c>
      <c r="B273" t="s">
        <v>8</v>
      </c>
      <c r="C273" t="s">
        <v>13</v>
      </c>
      <c r="D273">
        <v>36813</v>
      </c>
      <c r="E273">
        <v>1</v>
      </c>
      <c r="F273" s="7">
        <v>45405</v>
      </c>
      <c r="G273" t="s">
        <v>20</v>
      </c>
      <c r="H273">
        <f t="shared" si="4"/>
        <v>36813</v>
      </c>
    </row>
    <row r="274" spans="1:8" x14ac:dyDescent="0.3">
      <c r="A274">
        <v>273</v>
      </c>
      <c r="B274" t="s">
        <v>10</v>
      </c>
      <c r="C274" t="s">
        <v>14</v>
      </c>
      <c r="D274">
        <v>44014</v>
      </c>
      <c r="E274">
        <v>1</v>
      </c>
      <c r="F274" s="7">
        <v>45294</v>
      </c>
      <c r="G274" t="s">
        <v>18</v>
      </c>
      <c r="H274">
        <f t="shared" si="4"/>
        <v>44014</v>
      </c>
    </row>
    <row r="275" spans="1:8" x14ac:dyDescent="0.3">
      <c r="A275">
        <v>274</v>
      </c>
      <c r="B275" t="s">
        <v>9</v>
      </c>
      <c r="C275" t="s">
        <v>15</v>
      </c>
      <c r="D275">
        <v>5708</v>
      </c>
      <c r="E275">
        <v>4</v>
      </c>
      <c r="F275" s="7">
        <v>45361</v>
      </c>
      <c r="G275" t="s">
        <v>18</v>
      </c>
      <c r="H275">
        <f t="shared" si="4"/>
        <v>22832</v>
      </c>
    </row>
    <row r="276" spans="1:8" x14ac:dyDescent="0.3">
      <c r="A276">
        <v>275</v>
      </c>
      <c r="B276" t="s">
        <v>7</v>
      </c>
      <c r="C276" t="s">
        <v>14</v>
      </c>
      <c r="D276">
        <v>19957</v>
      </c>
      <c r="E276">
        <v>4</v>
      </c>
      <c r="F276" s="7">
        <v>45377</v>
      </c>
      <c r="G276" t="s">
        <v>16</v>
      </c>
      <c r="H276">
        <f t="shared" si="4"/>
        <v>79828</v>
      </c>
    </row>
    <row r="277" spans="1:8" x14ac:dyDescent="0.3">
      <c r="A277">
        <v>276</v>
      </c>
      <c r="B277" t="s">
        <v>7</v>
      </c>
      <c r="C277" t="s">
        <v>13</v>
      </c>
      <c r="D277">
        <v>41421</v>
      </c>
      <c r="E277">
        <v>3</v>
      </c>
      <c r="F277" s="7">
        <v>45388</v>
      </c>
      <c r="G277" t="s">
        <v>18</v>
      </c>
      <c r="H277">
        <f t="shared" si="4"/>
        <v>124263</v>
      </c>
    </row>
    <row r="278" spans="1:8" x14ac:dyDescent="0.3">
      <c r="A278">
        <v>277</v>
      </c>
      <c r="B278" t="s">
        <v>7</v>
      </c>
      <c r="C278" t="s">
        <v>14</v>
      </c>
      <c r="D278">
        <v>31975</v>
      </c>
      <c r="E278">
        <v>1</v>
      </c>
      <c r="F278" s="7">
        <v>45339</v>
      </c>
      <c r="G278" t="s">
        <v>16</v>
      </c>
      <c r="H278">
        <f t="shared" si="4"/>
        <v>31975</v>
      </c>
    </row>
    <row r="279" spans="1:8" x14ac:dyDescent="0.3">
      <c r="A279">
        <v>278</v>
      </c>
      <c r="B279" t="s">
        <v>12</v>
      </c>
      <c r="C279" t="s">
        <v>13</v>
      </c>
      <c r="D279">
        <v>36362</v>
      </c>
      <c r="E279">
        <v>1</v>
      </c>
      <c r="F279" s="7">
        <v>45410</v>
      </c>
      <c r="G279" t="s">
        <v>16</v>
      </c>
      <c r="H279">
        <f t="shared" si="4"/>
        <v>36362</v>
      </c>
    </row>
    <row r="280" spans="1:8" x14ac:dyDescent="0.3">
      <c r="A280">
        <v>279</v>
      </c>
      <c r="B280" t="s">
        <v>9</v>
      </c>
      <c r="C280" t="s">
        <v>14</v>
      </c>
      <c r="D280">
        <v>43076</v>
      </c>
      <c r="E280">
        <v>2</v>
      </c>
      <c r="F280" s="7">
        <v>45340</v>
      </c>
      <c r="G280" t="s">
        <v>20</v>
      </c>
      <c r="H280">
        <f t="shared" si="4"/>
        <v>86152</v>
      </c>
    </row>
    <row r="281" spans="1:8" x14ac:dyDescent="0.3">
      <c r="A281">
        <v>280</v>
      </c>
      <c r="B281" t="s">
        <v>7</v>
      </c>
      <c r="C281" t="s">
        <v>13</v>
      </c>
      <c r="D281">
        <v>48714</v>
      </c>
      <c r="E281">
        <v>1</v>
      </c>
      <c r="F281" s="7">
        <v>45334</v>
      </c>
      <c r="G281" t="s">
        <v>20</v>
      </c>
      <c r="H281">
        <f t="shared" si="4"/>
        <v>48714</v>
      </c>
    </row>
    <row r="282" spans="1:8" x14ac:dyDescent="0.3">
      <c r="A282">
        <v>281</v>
      </c>
      <c r="B282" t="s">
        <v>8</v>
      </c>
      <c r="C282" t="s">
        <v>13</v>
      </c>
      <c r="D282">
        <v>41089</v>
      </c>
      <c r="E282">
        <v>3</v>
      </c>
      <c r="F282" s="7">
        <v>45332</v>
      </c>
      <c r="G282" t="s">
        <v>18</v>
      </c>
      <c r="H282">
        <f t="shared" si="4"/>
        <v>123267</v>
      </c>
    </row>
    <row r="283" spans="1:8" x14ac:dyDescent="0.3">
      <c r="A283">
        <v>282</v>
      </c>
      <c r="B283" t="s">
        <v>12</v>
      </c>
      <c r="C283" t="s">
        <v>14</v>
      </c>
      <c r="D283">
        <v>16581</v>
      </c>
      <c r="E283">
        <v>5</v>
      </c>
      <c r="F283" s="7">
        <v>45330</v>
      </c>
      <c r="G283" t="s">
        <v>17</v>
      </c>
      <c r="H283">
        <f t="shared" si="4"/>
        <v>82905</v>
      </c>
    </row>
    <row r="284" spans="1:8" x14ac:dyDescent="0.3">
      <c r="A284">
        <v>283</v>
      </c>
      <c r="B284" t="s">
        <v>11</v>
      </c>
      <c r="C284" t="s">
        <v>15</v>
      </c>
      <c r="D284">
        <v>29659</v>
      </c>
      <c r="E284">
        <v>4</v>
      </c>
      <c r="F284" s="7">
        <v>45358</v>
      </c>
      <c r="G284" t="s">
        <v>18</v>
      </c>
      <c r="H284">
        <f t="shared" si="4"/>
        <v>118636</v>
      </c>
    </row>
    <row r="285" spans="1:8" x14ac:dyDescent="0.3">
      <c r="A285">
        <v>284</v>
      </c>
      <c r="B285" t="s">
        <v>8</v>
      </c>
      <c r="C285" t="s">
        <v>14</v>
      </c>
      <c r="D285">
        <v>1383</v>
      </c>
      <c r="E285">
        <v>5</v>
      </c>
      <c r="F285" s="7">
        <v>45393</v>
      </c>
      <c r="G285" t="s">
        <v>19</v>
      </c>
      <c r="H285">
        <f t="shared" si="4"/>
        <v>6915</v>
      </c>
    </row>
    <row r="286" spans="1:8" x14ac:dyDescent="0.3">
      <c r="A286">
        <v>285</v>
      </c>
      <c r="B286" t="s">
        <v>8</v>
      </c>
      <c r="C286" t="s">
        <v>14</v>
      </c>
      <c r="D286">
        <v>31713</v>
      </c>
      <c r="E286">
        <v>1</v>
      </c>
      <c r="F286" s="7">
        <v>45295</v>
      </c>
      <c r="G286" t="s">
        <v>18</v>
      </c>
      <c r="H286">
        <f t="shared" si="4"/>
        <v>31713</v>
      </c>
    </row>
    <row r="287" spans="1:8" x14ac:dyDescent="0.3">
      <c r="A287">
        <v>286</v>
      </c>
      <c r="B287" t="s">
        <v>12</v>
      </c>
      <c r="C287" t="s">
        <v>14</v>
      </c>
      <c r="D287">
        <v>46823</v>
      </c>
      <c r="E287">
        <v>1</v>
      </c>
      <c r="F287" s="7">
        <v>45364</v>
      </c>
      <c r="G287" t="s">
        <v>18</v>
      </c>
      <c r="H287">
        <f t="shared" si="4"/>
        <v>46823</v>
      </c>
    </row>
    <row r="288" spans="1:8" x14ac:dyDescent="0.3">
      <c r="A288">
        <v>287</v>
      </c>
      <c r="B288" t="s">
        <v>7</v>
      </c>
      <c r="C288" t="s">
        <v>15</v>
      </c>
      <c r="D288">
        <v>8708</v>
      </c>
      <c r="E288">
        <v>1</v>
      </c>
      <c r="F288" s="7">
        <v>45340</v>
      </c>
      <c r="G288" t="s">
        <v>19</v>
      </c>
      <c r="H288">
        <f t="shared" si="4"/>
        <v>8708</v>
      </c>
    </row>
    <row r="289" spans="1:8" x14ac:dyDescent="0.3">
      <c r="A289">
        <v>288</v>
      </c>
      <c r="B289" t="s">
        <v>11</v>
      </c>
      <c r="C289" t="s">
        <v>14</v>
      </c>
      <c r="D289">
        <v>45809</v>
      </c>
      <c r="E289">
        <v>5</v>
      </c>
      <c r="F289" s="7">
        <v>45330</v>
      </c>
      <c r="G289" t="s">
        <v>18</v>
      </c>
      <c r="H289">
        <f t="shared" si="4"/>
        <v>229045</v>
      </c>
    </row>
    <row r="290" spans="1:8" x14ac:dyDescent="0.3">
      <c r="A290">
        <v>289</v>
      </c>
      <c r="B290" t="s">
        <v>8</v>
      </c>
      <c r="C290" t="s">
        <v>15</v>
      </c>
      <c r="D290">
        <v>39952</v>
      </c>
      <c r="E290">
        <v>4</v>
      </c>
      <c r="F290" s="7">
        <v>45368</v>
      </c>
      <c r="G290" t="s">
        <v>16</v>
      </c>
      <c r="H290">
        <f t="shared" si="4"/>
        <v>159808</v>
      </c>
    </row>
    <row r="291" spans="1:8" x14ac:dyDescent="0.3">
      <c r="A291">
        <v>290</v>
      </c>
      <c r="B291" t="s">
        <v>10</v>
      </c>
      <c r="C291" t="s">
        <v>13</v>
      </c>
      <c r="D291">
        <v>40515</v>
      </c>
      <c r="E291">
        <v>3</v>
      </c>
      <c r="F291" s="7">
        <v>45392</v>
      </c>
      <c r="G291" t="s">
        <v>20</v>
      </c>
      <c r="H291">
        <f t="shared" si="4"/>
        <v>121545</v>
      </c>
    </row>
    <row r="292" spans="1:8" x14ac:dyDescent="0.3">
      <c r="A292">
        <v>291</v>
      </c>
      <c r="B292" t="s">
        <v>10</v>
      </c>
      <c r="C292" t="s">
        <v>14</v>
      </c>
      <c r="D292">
        <v>25975</v>
      </c>
      <c r="E292">
        <v>2</v>
      </c>
      <c r="F292" s="7">
        <v>45369</v>
      </c>
      <c r="G292" t="s">
        <v>18</v>
      </c>
      <c r="H292">
        <f t="shared" si="4"/>
        <v>51950</v>
      </c>
    </row>
    <row r="293" spans="1:8" x14ac:dyDescent="0.3">
      <c r="A293">
        <v>292</v>
      </c>
      <c r="B293" t="s">
        <v>11</v>
      </c>
      <c r="C293" t="s">
        <v>13</v>
      </c>
      <c r="D293">
        <v>42204</v>
      </c>
      <c r="E293">
        <v>5</v>
      </c>
      <c r="F293" s="7">
        <v>45308</v>
      </c>
      <c r="G293" t="s">
        <v>17</v>
      </c>
      <c r="H293">
        <f t="shared" si="4"/>
        <v>211020</v>
      </c>
    </row>
    <row r="294" spans="1:8" x14ac:dyDescent="0.3">
      <c r="A294">
        <v>293</v>
      </c>
      <c r="B294" t="s">
        <v>9</v>
      </c>
      <c r="C294" t="s">
        <v>14</v>
      </c>
      <c r="D294">
        <v>42265</v>
      </c>
      <c r="E294">
        <v>1</v>
      </c>
      <c r="F294" s="7">
        <v>45340</v>
      </c>
      <c r="G294" t="s">
        <v>20</v>
      </c>
      <c r="H294">
        <f t="shared" si="4"/>
        <v>42265</v>
      </c>
    </row>
    <row r="295" spans="1:8" x14ac:dyDescent="0.3">
      <c r="A295">
        <v>294</v>
      </c>
      <c r="B295" t="s">
        <v>11</v>
      </c>
      <c r="C295" t="s">
        <v>13</v>
      </c>
      <c r="D295">
        <v>5037</v>
      </c>
      <c r="E295">
        <v>4</v>
      </c>
      <c r="F295" s="7">
        <v>45385</v>
      </c>
      <c r="G295" t="s">
        <v>20</v>
      </c>
      <c r="H295">
        <f t="shared" si="4"/>
        <v>20148</v>
      </c>
    </row>
    <row r="296" spans="1:8" x14ac:dyDescent="0.3">
      <c r="A296">
        <v>295</v>
      </c>
      <c r="B296" t="s">
        <v>9</v>
      </c>
      <c r="C296" t="s">
        <v>14</v>
      </c>
      <c r="D296">
        <v>14109</v>
      </c>
      <c r="E296">
        <v>4</v>
      </c>
      <c r="F296" s="7">
        <v>45301</v>
      </c>
      <c r="G296" t="s">
        <v>17</v>
      </c>
      <c r="H296">
        <f t="shared" si="4"/>
        <v>56436</v>
      </c>
    </row>
    <row r="297" spans="1:8" x14ac:dyDescent="0.3">
      <c r="A297">
        <v>296</v>
      </c>
      <c r="B297" t="s">
        <v>11</v>
      </c>
      <c r="C297" t="s">
        <v>14</v>
      </c>
      <c r="D297">
        <v>16929</v>
      </c>
      <c r="E297">
        <v>4</v>
      </c>
      <c r="F297" s="7">
        <v>45318</v>
      </c>
      <c r="G297" t="s">
        <v>18</v>
      </c>
      <c r="H297">
        <f t="shared" si="4"/>
        <v>67716</v>
      </c>
    </row>
    <row r="298" spans="1:8" x14ac:dyDescent="0.3">
      <c r="A298">
        <v>297</v>
      </c>
      <c r="B298" t="s">
        <v>8</v>
      </c>
      <c r="C298" t="s">
        <v>13</v>
      </c>
      <c r="D298">
        <v>13441</v>
      </c>
      <c r="E298">
        <v>3</v>
      </c>
      <c r="F298" s="7">
        <v>45327</v>
      </c>
      <c r="G298" t="s">
        <v>19</v>
      </c>
      <c r="H298">
        <f t="shared" si="4"/>
        <v>40323</v>
      </c>
    </row>
    <row r="299" spans="1:8" x14ac:dyDescent="0.3">
      <c r="A299">
        <v>298</v>
      </c>
      <c r="B299" t="s">
        <v>9</v>
      </c>
      <c r="C299" t="s">
        <v>15</v>
      </c>
      <c r="D299">
        <v>38016</v>
      </c>
      <c r="E299">
        <v>4</v>
      </c>
      <c r="F299" s="7">
        <v>45299</v>
      </c>
      <c r="G299" t="s">
        <v>20</v>
      </c>
      <c r="H299">
        <f t="shared" si="4"/>
        <v>152064</v>
      </c>
    </row>
    <row r="300" spans="1:8" x14ac:dyDescent="0.3">
      <c r="A300">
        <v>299</v>
      </c>
      <c r="B300" t="s">
        <v>11</v>
      </c>
      <c r="C300" t="s">
        <v>13</v>
      </c>
      <c r="D300">
        <v>41337</v>
      </c>
      <c r="E300">
        <v>1</v>
      </c>
      <c r="F300" s="7">
        <v>45386</v>
      </c>
      <c r="G300" t="s">
        <v>18</v>
      </c>
      <c r="H300">
        <f t="shared" si="4"/>
        <v>41337</v>
      </c>
    </row>
    <row r="301" spans="1:8" x14ac:dyDescent="0.3">
      <c r="A301">
        <v>300</v>
      </c>
      <c r="B301" t="s">
        <v>8</v>
      </c>
      <c r="C301" t="s">
        <v>13</v>
      </c>
      <c r="D301">
        <v>22561</v>
      </c>
      <c r="E301">
        <v>5</v>
      </c>
      <c r="F301" s="7">
        <v>45354</v>
      </c>
      <c r="G301" t="s">
        <v>18</v>
      </c>
      <c r="H301">
        <f t="shared" si="4"/>
        <v>112805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Category Sales</vt:lpstr>
      <vt:lpstr>City Sales</vt:lpstr>
      <vt:lpstr>Monthly Trend</vt:lpstr>
      <vt:lpstr>Dashboard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Ajay Joshi</cp:lastModifiedBy>
  <dcterms:created xsi:type="dcterms:W3CDTF">2026-04-23T10:32:57Z</dcterms:created>
  <dcterms:modified xsi:type="dcterms:W3CDTF">2026-04-23T12:35:44Z</dcterms:modified>
</cp:coreProperties>
</file>